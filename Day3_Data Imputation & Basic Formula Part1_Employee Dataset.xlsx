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miga\Excel\Daily Challenge\"/>
    </mc:Choice>
  </mc:AlternateContent>
  <xr:revisionPtr revIDLastSave="0" documentId="13_ncr:1_{BD741667-A964-40A0-8662-F28FA1C870E8}" xr6:coauthVersionLast="47" xr6:coauthVersionMax="47" xr10:uidLastSave="{00000000-0000-0000-0000-000000000000}"/>
  <bookViews>
    <workbookView xWindow="-120" yWindow="-120" windowWidth="29040" windowHeight="16440" activeTab="1" xr2:uid="{C04F6EDC-23F2-4FE8-B3FF-F18DE3C9DFF5}"/>
  </bookViews>
  <sheets>
    <sheet name="Raw data for day3" sheetId="4" r:id="rId1"/>
    <sheet name="Day3" sheetId="6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6" l="1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P77" i="6"/>
  <c r="P76" i="6"/>
  <c r="P75" i="6"/>
  <c r="P74" i="6"/>
  <c r="P78" i="6"/>
  <c r="P79" i="6"/>
  <c r="P80" i="6"/>
  <c r="P73" i="6"/>
  <c r="P72" i="6"/>
  <c r="O80" i="6"/>
  <c r="O79" i="6"/>
  <c r="O78" i="6"/>
  <c r="O77" i="6"/>
  <c r="O76" i="6"/>
  <c r="O75" i="6"/>
  <c r="O74" i="6"/>
  <c r="O73" i="6"/>
  <c r="O72" i="6"/>
  <c r="N80" i="6"/>
  <c r="N79" i="6"/>
  <c r="N78" i="6"/>
  <c r="N77" i="6"/>
  <c r="N76" i="6"/>
  <c r="N75" i="6"/>
  <c r="N74" i="6"/>
  <c r="N73" i="6"/>
  <c r="N72" i="6"/>
  <c r="M80" i="6"/>
  <c r="M79" i="6"/>
  <c r="M78" i="6"/>
  <c r="M77" i="6"/>
  <c r="M76" i="6"/>
  <c r="M75" i="6"/>
  <c r="M74" i="6"/>
  <c r="M73" i="6"/>
  <c r="M72" i="6"/>
  <c r="K60" i="6" a="1"/>
  <c r="K60" i="6" s="1"/>
  <c r="L60" i="6" s="1"/>
  <c r="K36" i="6" a="1"/>
  <c r="K36" i="6" s="1"/>
  <c r="L36" i="6" s="1"/>
  <c r="K23" i="6" a="1"/>
  <c r="K23" i="6" s="1"/>
  <c r="L23" i="6" s="1"/>
  <c r="K10" i="6" a="1"/>
  <c r="K10" i="6" s="1"/>
  <c r="L10" i="6" s="1"/>
  <c r="I153" i="6"/>
  <c r="H153" i="6"/>
  <c r="F153" i="6"/>
  <c r="E153" i="6"/>
  <c r="D153" i="6"/>
  <c r="B153" i="6"/>
  <c r="A153" i="6"/>
  <c r="I152" i="6"/>
  <c r="H152" i="6"/>
  <c r="F152" i="6"/>
  <c r="E152" i="6"/>
  <c r="D152" i="6"/>
  <c r="B152" i="6"/>
  <c r="A152" i="6"/>
  <c r="I151" i="6"/>
  <c r="H151" i="6"/>
  <c r="F151" i="6"/>
  <c r="E151" i="6"/>
  <c r="D151" i="6"/>
  <c r="B151" i="6"/>
  <c r="A151" i="6"/>
  <c r="I150" i="6"/>
  <c r="H150" i="6"/>
  <c r="F150" i="6"/>
  <c r="E150" i="6"/>
  <c r="D150" i="6"/>
  <c r="B150" i="6"/>
  <c r="A150" i="6"/>
  <c r="I149" i="6"/>
  <c r="H149" i="6"/>
  <c r="F149" i="6"/>
  <c r="E149" i="6"/>
  <c r="D149" i="6"/>
  <c r="B149" i="6"/>
  <c r="A149" i="6"/>
  <c r="I148" i="6"/>
  <c r="H148" i="6"/>
  <c r="F148" i="6"/>
  <c r="E148" i="6"/>
  <c r="D148" i="6"/>
  <c r="B148" i="6"/>
  <c r="A148" i="6"/>
  <c r="I147" i="6"/>
  <c r="H147" i="6"/>
  <c r="F147" i="6"/>
  <c r="E147" i="6"/>
  <c r="D147" i="6"/>
  <c r="B147" i="6"/>
  <c r="A147" i="6"/>
  <c r="I146" i="6"/>
  <c r="H146" i="6"/>
  <c r="F146" i="6"/>
  <c r="E146" i="6"/>
  <c r="D146" i="6"/>
  <c r="B146" i="6"/>
  <c r="A146" i="6"/>
  <c r="I145" i="6"/>
  <c r="H145" i="6"/>
  <c r="F145" i="6"/>
  <c r="E145" i="6"/>
  <c r="D145" i="6"/>
  <c r="B145" i="6"/>
  <c r="A145" i="6"/>
  <c r="I144" i="6"/>
  <c r="H144" i="6"/>
  <c r="F144" i="6"/>
  <c r="E144" i="6"/>
  <c r="D144" i="6"/>
  <c r="B144" i="6"/>
  <c r="A144" i="6"/>
  <c r="I143" i="6"/>
  <c r="H143" i="6"/>
  <c r="F143" i="6"/>
  <c r="E143" i="6"/>
  <c r="D143" i="6"/>
  <c r="B143" i="6"/>
  <c r="A143" i="6"/>
  <c r="I142" i="6"/>
  <c r="H142" i="6"/>
  <c r="F142" i="6"/>
  <c r="E142" i="6"/>
  <c r="D142" i="6"/>
  <c r="B142" i="6"/>
  <c r="A142" i="6"/>
  <c r="I141" i="6"/>
  <c r="H141" i="6"/>
  <c r="F141" i="6"/>
  <c r="E141" i="6"/>
  <c r="D141" i="6"/>
  <c r="B141" i="6"/>
  <c r="A141" i="6"/>
  <c r="I140" i="6"/>
  <c r="H140" i="6"/>
  <c r="F140" i="6"/>
  <c r="E140" i="6"/>
  <c r="D140" i="6"/>
  <c r="B140" i="6"/>
  <c r="A140" i="6"/>
  <c r="I139" i="6"/>
  <c r="H139" i="6"/>
  <c r="F139" i="6"/>
  <c r="E139" i="6"/>
  <c r="D139" i="6"/>
  <c r="B139" i="6"/>
  <c r="A139" i="6"/>
  <c r="I138" i="6"/>
  <c r="H138" i="6"/>
  <c r="F138" i="6"/>
  <c r="E138" i="6"/>
  <c r="D138" i="6"/>
  <c r="B138" i="6"/>
  <c r="A138" i="6"/>
  <c r="I137" i="6"/>
  <c r="H137" i="6"/>
  <c r="F137" i="6"/>
  <c r="E137" i="6"/>
  <c r="D137" i="6"/>
  <c r="B137" i="6"/>
  <c r="A137" i="6"/>
  <c r="I136" i="6"/>
  <c r="H136" i="6"/>
  <c r="F136" i="6"/>
  <c r="E136" i="6"/>
  <c r="D136" i="6"/>
  <c r="B136" i="6"/>
  <c r="A136" i="6"/>
  <c r="I135" i="6"/>
  <c r="H135" i="6"/>
  <c r="F135" i="6"/>
  <c r="E135" i="6"/>
  <c r="D135" i="6"/>
  <c r="B135" i="6"/>
  <c r="A135" i="6"/>
  <c r="I134" i="6"/>
  <c r="H134" i="6"/>
  <c r="F134" i="6"/>
  <c r="E134" i="6"/>
  <c r="D134" i="6"/>
  <c r="B134" i="6"/>
  <c r="A134" i="6"/>
  <c r="I133" i="6"/>
  <c r="H133" i="6"/>
  <c r="F133" i="6"/>
  <c r="E133" i="6"/>
  <c r="D133" i="6"/>
  <c r="B133" i="6"/>
  <c r="A133" i="6"/>
  <c r="I132" i="6"/>
  <c r="H132" i="6"/>
  <c r="F132" i="6"/>
  <c r="E132" i="6"/>
  <c r="D132" i="6"/>
  <c r="B132" i="6"/>
  <c r="A132" i="6"/>
  <c r="I131" i="6"/>
  <c r="H131" i="6"/>
  <c r="F131" i="6"/>
  <c r="E131" i="6"/>
  <c r="D131" i="6"/>
  <c r="B131" i="6"/>
  <c r="A131" i="6"/>
  <c r="I130" i="6"/>
  <c r="H130" i="6"/>
  <c r="F130" i="6"/>
  <c r="E130" i="6"/>
  <c r="D130" i="6"/>
  <c r="B130" i="6"/>
  <c r="A130" i="6"/>
  <c r="I129" i="6"/>
  <c r="H129" i="6"/>
  <c r="F129" i="6"/>
  <c r="E129" i="6"/>
  <c r="D129" i="6"/>
  <c r="B129" i="6"/>
  <c r="A129" i="6"/>
  <c r="I128" i="6"/>
  <c r="H128" i="6"/>
  <c r="F128" i="6"/>
  <c r="E128" i="6"/>
  <c r="D128" i="6"/>
  <c r="B128" i="6"/>
  <c r="A128" i="6"/>
  <c r="I127" i="6"/>
  <c r="H127" i="6"/>
  <c r="F127" i="6"/>
  <c r="E127" i="6"/>
  <c r="D127" i="6"/>
  <c r="B127" i="6"/>
  <c r="A127" i="6"/>
  <c r="I126" i="6"/>
  <c r="H126" i="6"/>
  <c r="F126" i="6"/>
  <c r="E126" i="6"/>
  <c r="D126" i="6"/>
  <c r="B126" i="6"/>
  <c r="A126" i="6"/>
  <c r="I125" i="6"/>
  <c r="H125" i="6"/>
  <c r="F125" i="6"/>
  <c r="E125" i="6"/>
  <c r="D125" i="6"/>
  <c r="B125" i="6"/>
  <c r="A125" i="6"/>
  <c r="I124" i="6"/>
  <c r="H124" i="6"/>
  <c r="F124" i="6"/>
  <c r="E124" i="6"/>
  <c r="D124" i="6"/>
  <c r="B124" i="6"/>
  <c r="A124" i="6"/>
  <c r="I123" i="6"/>
  <c r="H123" i="6"/>
  <c r="F123" i="6"/>
  <c r="E123" i="6"/>
  <c r="D123" i="6"/>
  <c r="B123" i="6"/>
  <c r="A123" i="6"/>
  <c r="I122" i="6"/>
  <c r="H122" i="6"/>
  <c r="F122" i="6"/>
  <c r="E122" i="6"/>
  <c r="D122" i="6"/>
  <c r="B122" i="6"/>
  <c r="A122" i="6"/>
  <c r="I121" i="6"/>
  <c r="H121" i="6"/>
  <c r="F121" i="6"/>
  <c r="E121" i="6"/>
  <c r="D121" i="6"/>
  <c r="B121" i="6"/>
  <c r="A121" i="6"/>
  <c r="I120" i="6"/>
  <c r="H120" i="6"/>
  <c r="F120" i="6"/>
  <c r="E120" i="6"/>
  <c r="D120" i="6"/>
  <c r="B120" i="6"/>
  <c r="A120" i="6"/>
  <c r="I119" i="6"/>
  <c r="H119" i="6"/>
  <c r="F119" i="6"/>
  <c r="E119" i="6"/>
  <c r="D119" i="6"/>
  <c r="B119" i="6"/>
  <c r="A119" i="6"/>
  <c r="I118" i="6"/>
  <c r="H118" i="6"/>
  <c r="F118" i="6"/>
  <c r="E118" i="6"/>
  <c r="D118" i="6"/>
  <c r="B118" i="6"/>
  <c r="A118" i="6"/>
  <c r="I117" i="6"/>
  <c r="H117" i="6"/>
  <c r="F117" i="6"/>
  <c r="E117" i="6"/>
  <c r="D117" i="6"/>
  <c r="B117" i="6"/>
  <c r="A117" i="6"/>
  <c r="I116" i="6"/>
  <c r="H116" i="6"/>
  <c r="F116" i="6"/>
  <c r="E116" i="6"/>
  <c r="D116" i="6"/>
  <c r="B116" i="6"/>
  <c r="A116" i="6"/>
  <c r="I115" i="6"/>
  <c r="H115" i="6"/>
  <c r="F115" i="6"/>
  <c r="E115" i="6"/>
  <c r="D115" i="6"/>
  <c r="B115" i="6"/>
  <c r="A115" i="6"/>
  <c r="I114" i="6"/>
  <c r="H114" i="6"/>
  <c r="F114" i="6"/>
  <c r="E114" i="6"/>
  <c r="D114" i="6"/>
  <c r="B114" i="6"/>
  <c r="A114" i="6"/>
  <c r="I113" i="6"/>
  <c r="H113" i="6"/>
  <c r="F113" i="6"/>
  <c r="E113" i="6"/>
  <c r="D113" i="6"/>
  <c r="B113" i="6"/>
  <c r="A113" i="6"/>
  <c r="I112" i="6"/>
  <c r="H112" i="6"/>
  <c r="F112" i="6"/>
  <c r="E112" i="6"/>
  <c r="D112" i="6"/>
  <c r="B112" i="6"/>
  <c r="A112" i="6"/>
  <c r="I111" i="6"/>
  <c r="H111" i="6"/>
  <c r="F111" i="6"/>
  <c r="E111" i="6"/>
  <c r="D111" i="6"/>
  <c r="B111" i="6"/>
  <c r="A111" i="6"/>
  <c r="I110" i="6"/>
  <c r="H110" i="6"/>
  <c r="F110" i="6"/>
  <c r="E110" i="6"/>
  <c r="D110" i="6"/>
  <c r="B110" i="6"/>
  <c r="A110" i="6"/>
  <c r="I109" i="6"/>
  <c r="H109" i="6"/>
  <c r="F109" i="6"/>
  <c r="E109" i="6"/>
  <c r="D109" i="6"/>
  <c r="B109" i="6"/>
  <c r="A109" i="6"/>
  <c r="I108" i="6"/>
  <c r="H108" i="6"/>
  <c r="F108" i="6"/>
  <c r="E108" i="6"/>
  <c r="D108" i="6"/>
  <c r="B108" i="6"/>
  <c r="A108" i="6"/>
  <c r="I107" i="6"/>
  <c r="H107" i="6"/>
  <c r="F107" i="6"/>
  <c r="E107" i="6"/>
  <c r="D107" i="6"/>
  <c r="B107" i="6"/>
  <c r="A107" i="6"/>
  <c r="I106" i="6"/>
  <c r="H106" i="6"/>
  <c r="F106" i="6"/>
  <c r="E106" i="6"/>
  <c r="D106" i="6"/>
  <c r="B106" i="6"/>
  <c r="A106" i="6"/>
  <c r="I105" i="6"/>
  <c r="H105" i="6"/>
  <c r="F105" i="6"/>
  <c r="E105" i="6"/>
  <c r="D105" i="6"/>
  <c r="B105" i="6"/>
  <c r="A105" i="6"/>
  <c r="I104" i="6"/>
  <c r="H104" i="6"/>
  <c r="F104" i="6"/>
  <c r="E104" i="6"/>
  <c r="D104" i="6"/>
  <c r="B104" i="6"/>
  <c r="A104" i="6"/>
  <c r="I103" i="6"/>
  <c r="H103" i="6"/>
  <c r="F103" i="6"/>
  <c r="E103" i="6"/>
  <c r="D103" i="6"/>
  <c r="B103" i="6"/>
  <c r="A103" i="6"/>
  <c r="I102" i="6"/>
  <c r="H102" i="6"/>
  <c r="F102" i="6"/>
  <c r="E102" i="6"/>
  <c r="D102" i="6"/>
  <c r="B102" i="6"/>
  <c r="A102" i="6"/>
  <c r="I101" i="6"/>
  <c r="H101" i="6"/>
  <c r="F101" i="6"/>
  <c r="E101" i="6"/>
  <c r="D101" i="6"/>
  <c r="B101" i="6"/>
  <c r="A101" i="6"/>
  <c r="I100" i="6"/>
  <c r="H100" i="6"/>
  <c r="F100" i="6"/>
  <c r="E100" i="6"/>
  <c r="D100" i="6"/>
  <c r="B100" i="6"/>
  <c r="A100" i="6"/>
  <c r="I99" i="6"/>
  <c r="H99" i="6"/>
  <c r="F99" i="6"/>
  <c r="E99" i="6"/>
  <c r="D99" i="6"/>
  <c r="B99" i="6"/>
  <c r="A99" i="6"/>
  <c r="I98" i="6"/>
  <c r="H98" i="6"/>
  <c r="F98" i="6"/>
  <c r="E98" i="6"/>
  <c r="D98" i="6"/>
  <c r="B98" i="6"/>
  <c r="A98" i="6"/>
  <c r="I97" i="6"/>
  <c r="H97" i="6"/>
  <c r="F97" i="6"/>
  <c r="E97" i="6"/>
  <c r="D97" i="6"/>
  <c r="B97" i="6"/>
  <c r="A97" i="6"/>
  <c r="I96" i="6"/>
  <c r="H96" i="6"/>
  <c r="F96" i="6"/>
  <c r="E96" i="6"/>
  <c r="D96" i="6"/>
  <c r="B96" i="6"/>
  <c r="A96" i="6"/>
  <c r="I95" i="6"/>
  <c r="H95" i="6"/>
  <c r="F95" i="6"/>
  <c r="E95" i="6"/>
  <c r="D95" i="6"/>
  <c r="B95" i="6"/>
  <c r="A95" i="6"/>
  <c r="I94" i="6"/>
  <c r="H94" i="6"/>
  <c r="F94" i="6"/>
  <c r="E94" i="6"/>
  <c r="D94" i="6"/>
  <c r="B94" i="6"/>
  <c r="A94" i="6"/>
  <c r="I93" i="6"/>
  <c r="H93" i="6"/>
  <c r="F93" i="6"/>
  <c r="E93" i="6"/>
  <c r="D93" i="6"/>
  <c r="B93" i="6"/>
  <c r="A93" i="6"/>
  <c r="I92" i="6"/>
  <c r="H92" i="6"/>
  <c r="F92" i="6"/>
  <c r="E92" i="6"/>
  <c r="D92" i="6"/>
  <c r="B92" i="6"/>
  <c r="A92" i="6"/>
  <c r="I91" i="6"/>
  <c r="H91" i="6"/>
  <c r="F91" i="6"/>
  <c r="E91" i="6"/>
  <c r="D91" i="6"/>
  <c r="B91" i="6"/>
  <c r="A91" i="6"/>
  <c r="I90" i="6"/>
  <c r="H90" i="6"/>
  <c r="F90" i="6"/>
  <c r="E90" i="6"/>
  <c r="D90" i="6"/>
  <c r="B90" i="6"/>
  <c r="A90" i="6"/>
  <c r="I89" i="6"/>
  <c r="H89" i="6"/>
  <c r="F89" i="6"/>
  <c r="E89" i="6"/>
  <c r="D89" i="6"/>
  <c r="B89" i="6"/>
  <c r="A89" i="6"/>
  <c r="I88" i="6"/>
  <c r="H88" i="6"/>
  <c r="F88" i="6"/>
  <c r="E88" i="6"/>
  <c r="D88" i="6"/>
  <c r="B88" i="6"/>
  <c r="A88" i="6"/>
  <c r="I87" i="6"/>
  <c r="H87" i="6"/>
  <c r="F87" i="6"/>
  <c r="E87" i="6"/>
  <c r="D87" i="6"/>
  <c r="B87" i="6"/>
  <c r="A87" i="6"/>
  <c r="I86" i="6"/>
  <c r="H86" i="6"/>
  <c r="F86" i="6"/>
  <c r="E86" i="6"/>
  <c r="D86" i="6"/>
  <c r="B86" i="6"/>
  <c r="A86" i="6"/>
  <c r="I85" i="6"/>
  <c r="H85" i="6"/>
  <c r="F85" i="6"/>
  <c r="E85" i="6"/>
  <c r="D85" i="6"/>
  <c r="B85" i="6"/>
  <c r="A85" i="6"/>
  <c r="I84" i="6"/>
  <c r="H84" i="6"/>
  <c r="F84" i="6"/>
  <c r="E84" i="6"/>
  <c r="D84" i="6"/>
  <c r="B84" i="6"/>
  <c r="A84" i="6"/>
  <c r="I83" i="6"/>
  <c r="H83" i="6"/>
  <c r="F83" i="6"/>
  <c r="E83" i="6"/>
  <c r="D83" i="6"/>
  <c r="B83" i="6"/>
  <c r="A83" i="6"/>
  <c r="I82" i="6"/>
  <c r="H82" i="6"/>
  <c r="F82" i="6"/>
  <c r="E82" i="6"/>
  <c r="D82" i="6"/>
  <c r="B82" i="6"/>
  <c r="A82" i="6"/>
  <c r="I81" i="6"/>
  <c r="H81" i="6"/>
  <c r="F81" i="6"/>
  <c r="E81" i="6"/>
  <c r="D81" i="6"/>
  <c r="B81" i="6"/>
  <c r="A81" i="6"/>
  <c r="I80" i="6"/>
  <c r="H80" i="6"/>
  <c r="F80" i="6"/>
  <c r="E80" i="6"/>
  <c r="D80" i="6"/>
  <c r="B80" i="6"/>
  <c r="A80" i="6"/>
  <c r="I79" i="6"/>
  <c r="H79" i="6"/>
  <c r="F79" i="6"/>
  <c r="E79" i="6"/>
  <c r="D79" i="6"/>
  <c r="B79" i="6"/>
  <c r="A79" i="6"/>
  <c r="I78" i="6"/>
  <c r="H78" i="6"/>
  <c r="F78" i="6"/>
  <c r="E78" i="6"/>
  <c r="D78" i="6"/>
  <c r="B78" i="6"/>
  <c r="A78" i="6"/>
  <c r="I77" i="6"/>
  <c r="H77" i="6"/>
  <c r="F77" i="6"/>
  <c r="E77" i="6"/>
  <c r="D77" i="6"/>
  <c r="B77" i="6"/>
  <c r="A77" i="6"/>
  <c r="I76" i="6"/>
  <c r="H76" i="6"/>
  <c r="F76" i="6"/>
  <c r="E76" i="6"/>
  <c r="D76" i="6"/>
  <c r="B76" i="6"/>
  <c r="A76" i="6"/>
  <c r="I75" i="6"/>
  <c r="H75" i="6"/>
  <c r="F75" i="6"/>
  <c r="E75" i="6"/>
  <c r="D75" i="6"/>
  <c r="B75" i="6"/>
  <c r="A75" i="6"/>
  <c r="I74" i="6"/>
  <c r="H74" i="6"/>
  <c r="F74" i="6"/>
  <c r="E74" i="6"/>
  <c r="D74" i="6"/>
  <c r="B74" i="6"/>
  <c r="A74" i="6"/>
  <c r="I73" i="6"/>
  <c r="H73" i="6"/>
  <c r="F73" i="6"/>
  <c r="E73" i="6"/>
  <c r="D73" i="6"/>
  <c r="B73" i="6"/>
  <c r="A73" i="6"/>
  <c r="I72" i="6"/>
  <c r="H72" i="6"/>
  <c r="F72" i="6"/>
  <c r="E72" i="6"/>
  <c r="D72" i="6"/>
  <c r="B72" i="6"/>
  <c r="A72" i="6"/>
  <c r="I71" i="6"/>
  <c r="H71" i="6"/>
  <c r="F71" i="6"/>
  <c r="E71" i="6"/>
  <c r="D71" i="6"/>
  <c r="B71" i="6"/>
  <c r="A71" i="6"/>
  <c r="I70" i="6"/>
  <c r="H70" i="6"/>
  <c r="F70" i="6"/>
  <c r="E70" i="6"/>
  <c r="D70" i="6"/>
  <c r="B70" i="6"/>
  <c r="A70" i="6"/>
  <c r="I69" i="6"/>
  <c r="H69" i="6"/>
  <c r="F69" i="6"/>
  <c r="E69" i="6"/>
  <c r="D69" i="6"/>
  <c r="B69" i="6"/>
  <c r="A69" i="6"/>
  <c r="I68" i="6"/>
  <c r="H68" i="6"/>
  <c r="F68" i="6"/>
  <c r="E68" i="6"/>
  <c r="D68" i="6"/>
  <c r="B68" i="6"/>
  <c r="A68" i="6"/>
  <c r="I67" i="6"/>
  <c r="H67" i="6"/>
  <c r="F67" i="6"/>
  <c r="E67" i="6"/>
  <c r="D67" i="6"/>
  <c r="B67" i="6"/>
  <c r="A67" i="6"/>
  <c r="I66" i="6"/>
  <c r="H66" i="6"/>
  <c r="F66" i="6"/>
  <c r="E66" i="6"/>
  <c r="D66" i="6"/>
  <c r="B66" i="6"/>
  <c r="A66" i="6"/>
  <c r="I65" i="6"/>
  <c r="H65" i="6"/>
  <c r="F65" i="6"/>
  <c r="E65" i="6"/>
  <c r="D65" i="6"/>
  <c r="B65" i="6"/>
  <c r="A65" i="6"/>
  <c r="I64" i="6"/>
  <c r="H64" i="6"/>
  <c r="F64" i="6"/>
  <c r="E64" i="6"/>
  <c r="D64" i="6"/>
  <c r="B64" i="6"/>
  <c r="A64" i="6"/>
  <c r="I63" i="6"/>
  <c r="H63" i="6"/>
  <c r="F63" i="6"/>
  <c r="E63" i="6"/>
  <c r="D63" i="6"/>
  <c r="B63" i="6"/>
  <c r="A63" i="6"/>
  <c r="I62" i="6"/>
  <c r="H62" i="6"/>
  <c r="F62" i="6"/>
  <c r="E62" i="6"/>
  <c r="D62" i="6"/>
  <c r="B62" i="6"/>
  <c r="A62" i="6"/>
  <c r="I61" i="6"/>
  <c r="H61" i="6"/>
  <c r="F61" i="6"/>
  <c r="E61" i="6"/>
  <c r="D61" i="6"/>
  <c r="B61" i="6"/>
  <c r="A61" i="6"/>
  <c r="I60" i="6"/>
  <c r="H60" i="6"/>
  <c r="F60" i="6"/>
  <c r="E60" i="6"/>
  <c r="D60" i="6"/>
  <c r="B60" i="6"/>
  <c r="A60" i="6"/>
  <c r="I59" i="6"/>
  <c r="H59" i="6"/>
  <c r="F59" i="6"/>
  <c r="E59" i="6"/>
  <c r="D59" i="6"/>
  <c r="B59" i="6"/>
  <c r="A59" i="6"/>
  <c r="I58" i="6"/>
  <c r="H58" i="6"/>
  <c r="F58" i="6"/>
  <c r="E58" i="6"/>
  <c r="D58" i="6"/>
  <c r="B58" i="6"/>
  <c r="A58" i="6"/>
  <c r="I57" i="6"/>
  <c r="H57" i="6"/>
  <c r="F57" i="6"/>
  <c r="E57" i="6"/>
  <c r="D57" i="6"/>
  <c r="B57" i="6"/>
  <c r="A57" i="6"/>
  <c r="I56" i="6"/>
  <c r="H56" i="6"/>
  <c r="F56" i="6"/>
  <c r="E56" i="6"/>
  <c r="D56" i="6"/>
  <c r="B56" i="6"/>
  <c r="A56" i="6"/>
  <c r="I55" i="6"/>
  <c r="H55" i="6"/>
  <c r="F55" i="6"/>
  <c r="E55" i="6"/>
  <c r="D55" i="6"/>
  <c r="B55" i="6"/>
  <c r="A55" i="6"/>
  <c r="I54" i="6"/>
  <c r="H54" i="6"/>
  <c r="F54" i="6"/>
  <c r="E54" i="6"/>
  <c r="D54" i="6"/>
  <c r="B54" i="6"/>
  <c r="A54" i="6"/>
  <c r="I53" i="6"/>
  <c r="H53" i="6"/>
  <c r="F53" i="6"/>
  <c r="E53" i="6"/>
  <c r="D53" i="6"/>
  <c r="B53" i="6"/>
  <c r="A53" i="6"/>
  <c r="I52" i="6"/>
  <c r="H52" i="6"/>
  <c r="F52" i="6"/>
  <c r="E52" i="6"/>
  <c r="D52" i="6"/>
  <c r="B52" i="6"/>
  <c r="A52" i="6"/>
  <c r="I51" i="6"/>
  <c r="H51" i="6"/>
  <c r="F51" i="6"/>
  <c r="E51" i="6"/>
  <c r="D51" i="6"/>
  <c r="B51" i="6"/>
  <c r="A51" i="6"/>
  <c r="I50" i="6"/>
  <c r="H50" i="6"/>
  <c r="F50" i="6"/>
  <c r="E50" i="6"/>
  <c r="D50" i="6"/>
  <c r="B50" i="6"/>
  <c r="A50" i="6"/>
  <c r="I49" i="6"/>
  <c r="H49" i="6"/>
  <c r="F49" i="6"/>
  <c r="E49" i="6"/>
  <c r="D49" i="6"/>
  <c r="B49" i="6"/>
  <c r="A49" i="6"/>
  <c r="I48" i="6"/>
  <c r="H48" i="6"/>
  <c r="F48" i="6"/>
  <c r="E48" i="6"/>
  <c r="D48" i="6"/>
  <c r="B48" i="6"/>
  <c r="A48" i="6"/>
  <c r="I47" i="6"/>
  <c r="H47" i="6"/>
  <c r="F47" i="6"/>
  <c r="E47" i="6"/>
  <c r="D47" i="6"/>
  <c r="B47" i="6"/>
  <c r="A47" i="6"/>
  <c r="I46" i="6"/>
  <c r="H46" i="6"/>
  <c r="F46" i="6"/>
  <c r="E46" i="6"/>
  <c r="D46" i="6"/>
  <c r="B46" i="6"/>
  <c r="A46" i="6"/>
  <c r="I45" i="6"/>
  <c r="H45" i="6"/>
  <c r="F45" i="6"/>
  <c r="E45" i="6"/>
  <c r="D45" i="6"/>
  <c r="B45" i="6"/>
  <c r="A45" i="6"/>
  <c r="I44" i="6"/>
  <c r="H44" i="6"/>
  <c r="F44" i="6"/>
  <c r="E44" i="6"/>
  <c r="D44" i="6"/>
  <c r="B44" i="6"/>
  <c r="A44" i="6"/>
  <c r="I43" i="6"/>
  <c r="H43" i="6"/>
  <c r="F43" i="6"/>
  <c r="E43" i="6"/>
  <c r="D43" i="6"/>
  <c r="B43" i="6"/>
  <c r="A43" i="6"/>
  <c r="I42" i="6"/>
  <c r="H42" i="6"/>
  <c r="F42" i="6"/>
  <c r="E42" i="6"/>
  <c r="D42" i="6"/>
  <c r="B42" i="6"/>
  <c r="A42" i="6"/>
  <c r="I41" i="6"/>
  <c r="H41" i="6"/>
  <c r="F41" i="6"/>
  <c r="E41" i="6"/>
  <c r="D41" i="6"/>
  <c r="B41" i="6"/>
  <c r="A41" i="6"/>
  <c r="I40" i="6"/>
  <c r="H40" i="6"/>
  <c r="F40" i="6"/>
  <c r="E40" i="6"/>
  <c r="D40" i="6"/>
  <c r="B40" i="6"/>
  <c r="A40" i="6"/>
  <c r="I39" i="6"/>
  <c r="H39" i="6"/>
  <c r="F39" i="6"/>
  <c r="E39" i="6"/>
  <c r="D39" i="6"/>
  <c r="B39" i="6"/>
  <c r="A39" i="6"/>
  <c r="I38" i="6"/>
  <c r="H38" i="6"/>
  <c r="F38" i="6"/>
  <c r="E38" i="6"/>
  <c r="D38" i="6"/>
  <c r="B38" i="6"/>
  <c r="A38" i="6"/>
  <c r="I37" i="6"/>
  <c r="H37" i="6"/>
  <c r="F37" i="6"/>
  <c r="E37" i="6"/>
  <c r="D37" i="6"/>
  <c r="B37" i="6"/>
  <c r="A37" i="6"/>
  <c r="I36" i="6"/>
  <c r="H36" i="6"/>
  <c r="F36" i="6"/>
  <c r="E36" i="6"/>
  <c r="D36" i="6"/>
  <c r="B36" i="6"/>
  <c r="A36" i="6"/>
  <c r="I35" i="6"/>
  <c r="H35" i="6"/>
  <c r="F35" i="6"/>
  <c r="E35" i="6"/>
  <c r="D35" i="6"/>
  <c r="B35" i="6"/>
  <c r="A35" i="6"/>
  <c r="I34" i="6"/>
  <c r="H34" i="6"/>
  <c r="F34" i="6"/>
  <c r="E34" i="6"/>
  <c r="D34" i="6"/>
  <c r="B34" i="6"/>
  <c r="A34" i="6"/>
  <c r="I33" i="6"/>
  <c r="H33" i="6"/>
  <c r="F33" i="6"/>
  <c r="E33" i="6"/>
  <c r="D33" i="6"/>
  <c r="B33" i="6"/>
  <c r="A33" i="6"/>
  <c r="I32" i="6"/>
  <c r="H32" i="6"/>
  <c r="F32" i="6"/>
  <c r="E32" i="6"/>
  <c r="D32" i="6"/>
  <c r="B32" i="6"/>
  <c r="A32" i="6"/>
  <c r="I31" i="6"/>
  <c r="H31" i="6"/>
  <c r="F31" i="6"/>
  <c r="E31" i="6"/>
  <c r="D31" i="6"/>
  <c r="B31" i="6"/>
  <c r="A31" i="6"/>
  <c r="I30" i="6"/>
  <c r="H30" i="6"/>
  <c r="F30" i="6"/>
  <c r="E30" i="6"/>
  <c r="D30" i="6"/>
  <c r="B30" i="6"/>
  <c r="A30" i="6"/>
  <c r="I29" i="6"/>
  <c r="H29" i="6"/>
  <c r="F29" i="6"/>
  <c r="E29" i="6"/>
  <c r="D29" i="6"/>
  <c r="B29" i="6"/>
  <c r="A29" i="6"/>
  <c r="I28" i="6"/>
  <c r="H28" i="6"/>
  <c r="F28" i="6"/>
  <c r="E28" i="6"/>
  <c r="D28" i="6"/>
  <c r="B28" i="6"/>
  <c r="A28" i="6"/>
  <c r="I27" i="6"/>
  <c r="H27" i="6"/>
  <c r="F27" i="6"/>
  <c r="E27" i="6"/>
  <c r="D27" i="6"/>
  <c r="B27" i="6"/>
  <c r="A27" i="6"/>
  <c r="I26" i="6"/>
  <c r="H26" i="6"/>
  <c r="F26" i="6"/>
  <c r="E26" i="6"/>
  <c r="D26" i="6"/>
  <c r="B26" i="6"/>
  <c r="A26" i="6"/>
  <c r="I25" i="6"/>
  <c r="H25" i="6"/>
  <c r="F25" i="6"/>
  <c r="E25" i="6"/>
  <c r="D25" i="6"/>
  <c r="B25" i="6"/>
  <c r="A25" i="6"/>
  <c r="I24" i="6"/>
  <c r="H24" i="6"/>
  <c r="F24" i="6"/>
  <c r="E24" i="6"/>
  <c r="D24" i="6"/>
  <c r="B24" i="6"/>
  <c r="A24" i="6"/>
  <c r="I23" i="6"/>
  <c r="H23" i="6"/>
  <c r="F23" i="6"/>
  <c r="E23" i="6"/>
  <c r="D23" i="6"/>
  <c r="B23" i="6"/>
  <c r="A23" i="6"/>
  <c r="I22" i="6"/>
  <c r="H22" i="6"/>
  <c r="F22" i="6"/>
  <c r="E22" i="6"/>
  <c r="D22" i="6"/>
  <c r="B22" i="6"/>
  <c r="A22" i="6"/>
  <c r="I21" i="6"/>
  <c r="H21" i="6"/>
  <c r="F21" i="6"/>
  <c r="E21" i="6"/>
  <c r="D21" i="6"/>
  <c r="B21" i="6"/>
  <c r="A21" i="6"/>
  <c r="I20" i="6"/>
  <c r="H20" i="6"/>
  <c r="F20" i="6"/>
  <c r="E20" i="6"/>
  <c r="D20" i="6"/>
  <c r="B20" i="6"/>
  <c r="A20" i="6"/>
  <c r="I19" i="6"/>
  <c r="H19" i="6"/>
  <c r="F19" i="6"/>
  <c r="E19" i="6"/>
  <c r="D19" i="6"/>
  <c r="B19" i="6"/>
  <c r="A19" i="6"/>
  <c r="I18" i="6"/>
  <c r="H18" i="6"/>
  <c r="F18" i="6"/>
  <c r="E18" i="6"/>
  <c r="D18" i="6"/>
  <c r="B18" i="6"/>
  <c r="A18" i="6"/>
  <c r="I17" i="6"/>
  <c r="H17" i="6"/>
  <c r="F17" i="6"/>
  <c r="E17" i="6"/>
  <c r="D17" i="6"/>
  <c r="B17" i="6"/>
  <c r="A17" i="6"/>
  <c r="I16" i="6"/>
  <c r="H16" i="6"/>
  <c r="F16" i="6"/>
  <c r="E16" i="6"/>
  <c r="D16" i="6"/>
  <c r="B16" i="6"/>
  <c r="A16" i="6"/>
  <c r="I15" i="6"/>
  <c r="H15" i="6"/>
  <c r="F15" i="6"/>
  <c r="E15" i="6"/>
  <c r="D15" i="6"/>
  <c r="B15" i="6"/>
  <c r="A15" i="6"/>
  <c r="I14" i="6"/>
  <c r="H14" i="6"/>
  <c r="F14" i="6"/>
  <c r="E14" i="6"/>
  <c r="D14" i="6"/>
  <c r="B14" i="6"/>
  <c r="A14" i="6"/>
  <c r="I13" i="6"/>
  <c r="H13" i="6"/>
  <c r="F13" i="6"/>
  <c r="E13" i="6"/>
  <c r="D13" i="6"/>
  <c r="B13" i="6"/>
  <c r="A13" i="6"/>
  <c r="I12" i="6"/>
  <c r="H12" i="6"/>
  <c r="F12" i="6"/>
  <c r="E12" i="6"/>
  <c r="D12" i="6"/>
  <c r="B12" i="6"/>
  <c r="A12" i="6"/>
  <c r="I11" i="6"/>
  <c r="H11" i="6"/>
  <c r="F11" i="6"/>
  <c r="E11" i="6"/>
  <c r="D11" i="6"/>
  <c r="B11" i="6"/>
  <c r="A11" i="6"/>
  <c r="I10" i="6"/>
  <c r="H10" i="6"/>
  <c r="F10" i="6"/>
  <c r="E10" i="6"/>
  <c r="D10" i="6"/>
  <c r="B10" i="6"/>
  <c r="A10" i="6"/>
  <c r="I9" i="6"/>
  <c r="H9" i="6"/>
  <c r="F9" i="6"/>
  <c r="E9" i="6"/>
  <c r="D9" i="6"/>
  <c r="B9" i="6"/>
  <c r="A9" i="6"/>
  <c r="I8" i="6"/>
  <c r="H8" i="6"/>
  <c r="F8" i="6"/>
  <c r="E8" i="6"/>
  <c r="D8" i="6"/>
  <c r="B8" i="6"/>
  <c r="A8" i="6"/>
  <c r="I7" i="6"/>
  <c r="H7" i="6"/>
  <c r="F7" i="6"/>
  <c r="E7" i="6"/>
  <c r="D7" i="6"/>
  <c r="B7" i="6"/>
  <c r="A7" i="6"/>
  <c r="I6" i="6"/>
  <c r="H6" i="6"/>
  <c r="F6" i="6"/>
  <c r="E6" i="6"/>
  <c r="D6" i="6"/>
  <c r="B6" i="6"/>
  <c r="A6" i="6"/>
  <c r="I5" i="6"/>
  <c r="H5" i="6"/>
  <c r="F5" i="6"/>
  <c r="E5" i="6"/>
  <c r="D5" i="6"/>
  <c r="B5" i="6"/>
  <c r="A5" i="6"/>
  <c r="I4" i="6"/>
  <c r="H4" i="6"/>
  <c r="F4" i="6"/>
  <c r="E4" i="6"/>
  <c r="D4" i="6"/>
  <c r="B4" i="6"/>
  <c r="A4" i="6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P82" i="6" s="1"/>
  <c r="O82" i="6" l="1"/>
  <c r="K49" i="6" a="1"/>
  <c r="K49" i="6" s="1"/>
  <c r="L49" i="6" s="1"/>
  <c r="M82" i="6"/>
  <c r="N82" i="6"/>
  <c r="M4" i="6"/>
  <c r="L61" i="6"/>
  <c r="L64" i="6"/>
  <c r="L63" i="6"/>
  <c r="L62" i="6"/>
  <c r="P81" i="6"/>
  <c r="N81" i="6"/>
  <c r="M81" i="6"/>
  <c r="L14" i="6"/>
  <c r="L27" i="6"/>
  <c r="L41" i="6"/>
  <c r="L15" i="6"/>
  <c r="L28" i="6"/>
  <c r="L13" i="6"/>
  <c r="L26" i="6"/>
  <c r="L40" i="6"/>
  <c r="L12" i="6"/>
  <c r="L25" i="6"/>
  <c r="L39" i="6"/>
  <c r="L24" i="6"/>
  <c r="L38" i="6"/>
  <c r="L11" i="6"/>
  <c r="L37" i="6"/>
  <c r="O81" i="6"/>
  <c r="L50" i="6" l="1"/>
  <c r="L52" i="6"/>
  <c r="L51" i="6"/>
  <c r="L29" i="6"/>
  <c r="L16" i="6"/>
  <c r="L42" i="6"/>
  <c r="L65" i="6"/>
  <c r="L53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user-pc</author>
  </authors>
  <commentList>
    <comment ref="A1" authorId="0" shapeId="0" xr:uid="{6465ABEF-A548-4469-A8AB-73FFAF51274F}">
      <text>
        <r>
          <rPr>
            <b/>
            <sz val="12"/>
            <color indexed="81"/>
            <rFont val="Aptos Display"/>
            <family val="2"/>
            <scheme val="major"/>
          </rPr>
          <t>NOTE</t>
        </r>
        <r>
          <rPr>
            <sz val="12"/>
            <color indexed="81"/>
            <rFont val="Aptos Display"/>
            <family val="2"/>
            <scheme val="major"/>
          </rPr>
          <t xml:space="preserve">
Day2 challenge file is pasted as values without formulae. Hence, this file is used as Raw data for Day3(Imputation &amp; utilizing Basic function[Part1])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<sst xmlns="http://schemas.openxmlformats.org/spreadsheetml/2006/main" count="1033" uniqueCount="334">
  <si>
    <t>Employee ID</t>
  </si>
  <si>
    <t>Names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</si>
  <si>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</si>
  <si>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</si>
  <si>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</si>
  <si>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</si>
  <si>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</si>
  <si>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</si>
  <si>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</si>
  <si>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</si>
  <si>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/>
  </si>
  <si>
    <t>Finance</t>
  </si>
  <si>
    <t>N/A</t>
  </si>
  <si>
    <t>Unknown</t>
  </si>
  <si>
    <t>invalid_email</t>
  </si>
  <si>
    <t>EMP1001</t>
  </si>
  <si>
    <t>Eve Adams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</si>
  <si>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</si>
  <si>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</si>
  <si>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</si>
  <si>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</si>
  <si>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</si>
  <si>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</si>
  <si>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</si>
  <si>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</si>
  <si>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</si>
  <si>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Male</t>
  </si>
  <si>
    <t>user168@example.com</t>
  </si>
  <si>
    <t>EMP1004</t>
  </si>
  <si>
    <t>Jane Smith</t>
  </si>
  <si>
    <t>user49@example.com</t>
  </si>
  <si>
    <t>EMP1005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</si>
  <si>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</si>
  <si>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</si>
  <si>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</si>
  <si>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</si>
  <si>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</si>
  <si>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</si>
  <si>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</si>
  <si>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</si>
  <si>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</si>
  <si>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</si>
  <si>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</si>
  <si>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</si>
  <si>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</si>
  <si>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</si>
  <si>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</si>
  <si>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</si>
  <si>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</si>
  <si>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</si>
  <si>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</si>
  <si>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</si>
  <si>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</si>
  <si>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</si>
  <si>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</si>
  <si>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</si>
  <si>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</si>
  <si>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</si>
  <si>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</si>
  <si>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</si>
  <si>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</si>
  <si>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</si>
  <si>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</si>
  <si>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</si>
  <si>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</si>
  <si>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</si>
  <si>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</si>
  <si>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</si>
  <si>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</si>
  <si>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</si>
  <si>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</si>
  <si>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</si>
  <si>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</si>
  <si>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</si>
  <si>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</si>
  <si>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</si>
  <si>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</si>
  <si>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</si>
  <si>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</si>
  <si>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</si>
  <si>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</si>
  <si>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</si>
  <si>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</si>
  <si>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</si>
  <si>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</si>
  <si>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</si>
  <si>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</si>
  <si>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</si>
  <si>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</si>
  <si>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</si>
  <si>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</si>
  <si>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</si>
  <si>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</si>
  <si>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</si>
  <si>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</si>
  <si>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</si>
  <si>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</si>
  <si>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</si>
  <si>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</si>
  <si>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</si>
  <si>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</si>
  <si>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</si>
  <si>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</si>
  <si>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</si>
  <si>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</si>
  <si>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</si>
  <si>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</si>
  <si>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</si>
  <si>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</si>
  <si>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</si>
  <si>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</si>
  <si>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</si>
  <si>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</si>
  <si>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</si>
  <si>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</si>
  <si>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</si>
  <si>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</si>
  <si>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</si>
  <si>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</si>
  <si>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</si>
  <si>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</si>
  <si>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</si>
  <si>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</si>
  <si>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</si>
  <si>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</si>
  <si>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</si>
  <si>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</si>
  <si>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</si>
  <si>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</si>
  <si>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</si>
  <si>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</si>
  <si>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</si>
  <si>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</si>
  <si>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</si>
  <si>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</si>
  <si>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</si>
  <si>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</si>
  <si>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</si>
  <si>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</si>
  <si>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</si>
  <si>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</si>
  <si>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</si>
  <si>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</si>
  <si>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</si>
  <si>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</si>
  <si>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</si>
  <si>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</si>
  <si>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</si>
  <si>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</si>
  <si>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</si>
  <si>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</si>
  <si>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</si>
  <si>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</si>
  <si>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</si>
  <si>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</si>
  <si>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</si>
  <si>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</si>
  <si>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</si>
  <si>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</si>
  <si>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</si>
  <si>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</si>
  <si>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</si>
  <si>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</si>
  <si>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</si>
  <si>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</si>
  <si>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</si>
  <si>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</si>
  <si>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</si>
  <si>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</si>
  <si>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</si>
  <si>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</si>
  <si>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</si>
  <si>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</si>
  <si>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</si>
  <si>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</si>
  <si>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</si>
  <si>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</si>
  <si>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</si>
  <si>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</si>
  <si>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</si>
  <si>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</si>
  <si>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</si>
  <si>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</si>
  <si>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</si>
  <si>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</si>
  <si>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</si>
  <si>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</si>
  <si>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</si>
  <si>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</si>
  <si>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</si>
  <si>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</si>
  <si>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</si>
  <si>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</si>
  <si>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</si>
  <si>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</si>
  <si>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</si>
  <si>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</si>
  <si>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</si>
  <si>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</si>
  <si>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</si>
  <si>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</si>
  <si>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</si>
  <si>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</si>
  <si>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</si>
  <si>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</si>
  <si>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</si>
  <si>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</si>
  <si>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</si>
  <si>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</si>
  <si>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</si>
  <si>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</si>
  <si>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</si>
  <si>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</si>
  <si>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</si>
  <si>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</si>
  <si>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</si>
  <si>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</si>
  <si>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</si>
  <si>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</si>
  <si>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</si>
  <si>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</si>
  <si>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</si>
  <si>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</si>
  <si>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</si>
  <si>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</si>
  <si>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</si>
  <si>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</si>
  <si>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</si>
  <si>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</si>
  <si>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</si>
  <si>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</si>
  <si>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</si>
  <si>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</si>
  <si>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</si>
  <si>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</si>
  <si>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</si>
  <si>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</si>
  <si>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</si>
  <si>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</si>
  <si>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</si>
  <si>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</si>
  <si>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</si>
  <si>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</si>
  <si>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</si>
  <si>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</si>
  <si>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</si>
  <si>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</si>
  <si>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</si>
  <si>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</si>
  <si>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</si>
  <si>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</si>
  <si>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</si>
  <si>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</si>
  <si>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</si>
  <si>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</si>
  <si>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</si>
  <si>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</si>
  <si>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</si>
  <si>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</si>
  <si>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</si>
  <si>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</si>
  <si>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</si>
  <si>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</si>
  <si>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</si>
  <si>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</si>
  <si>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</si>
  <si>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</si>
  <si>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</si>
  <si>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</si>
  <si>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</si>
  <si>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</si>
  <si>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</si>
  <si>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</si>
  <si>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</si>
  <si>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</si>
  <si>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</si>
  <si>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</si>
  <si>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Department Names</t>
  </si>
  <si>
    <t>No. of Employee in Each Department</t>
  </si>
  <si>
    <t>Total</t>
  </si>
  <si>
    <t>No. of Employee joined in a Year</t>
  </si>
  <si>
    <t>Date of Joining Year</t>
  </si>
  <si>
    <t xml:space="preserve"> No. of employee in Each Gender</t>
  </si>
  <si>
    <t xml:space="preserve">No. of Employee from Each country </t>
  </si>
  <si>
    <t>Total No.of Employee</t>
  </si>
  <si>
    <t>Depatment</t>
  </si>
  <si>
    <t>Date Of Joining</t>
  </si>
  <si>
    <t>Column Header</t>
  </si>
  <si>
    <t>Count Blank</t>
  </si>
  <si>
    <t>Count N/A</t>
  </si>
  <si>
    <t>Count Unknown</t>
  </si>
  <si>
    <t>COUNT invalid_email</t>
  </si>
  <si>
    <t>Total count of Entire Table</t>
  </si>
  <si>
    <t>Count of Performance Rating</t>
  </si>
  <si>
    <r>
      <t xml:space="preserve">Unique values in </t>
    </r>
    <r>
      <rPr>
        <b/>
        <sz val="11"/>
        <color theme="2" tint="-0.749992370372631"/>
        <rFont val="Aptos Narrow"/>
        <family val="2"/>
        <scheme val="minor"/>
      </rPr>
      <t>GENDER</t>
    </r>
    <r>
      <rPr>
        <sz val="11"/>
        <color theme="2" tint="-0.749992370372631"/>
        <rFont val="Aptos Narrow"/>
        <family val="2"/>
        <scheme val="minor"/>
      </rPr>
      <t xml:space="preserve"> column</t>
    </r>
  </si>
  <si>
    <r>
      <t xml:space="preserve">Unique values of </t>
    </r>
    <r>
      <rPr>
        <b/>
        <sz val="11"/>
        <color theme="2" tint="-0.749992370372631"/>
        <rFont val="Aptos Narrow"/>
        <family val="2"/>
        <scheme val="minor"/>
      </rPr>
      <t>YEARS</t>
    </r>
    <r>
      <rPr>
        <sz val="11"/>
        <color theme="2" tint="-0.749992370372631"/>
        <rFont val="Aptos Narrow"/>
        <family val="2"/>
        <scheme val="minor"/>
      </rPr>
      <t xml:space="preserve"> in </t>
    </r>
    <r>
      <rPr>
        <b/>
        <sz val="11"/>
        <color theme="2" tint="-0.749992370372631"/>
        <rFont val="Aptos Narrow"/>
        <family val="2"/>
        <scheme val="minor"/>
      </rPr>
      <t>DATE OF JOINING</t>
    </r>
    <r>
      <rPr>
        <sz val="11"/>
        <color theme="2" tint="-0.749992370372631"/>
        <rFont val="Aptos Narrow"/>
        <family val="2"/>
        <scheme val="minor"/>
      </rPr>
      <t xml:space="preserve"> column</t>
    </r>
  </si>
  <si>
    <r>
      <t xml:space="preserve">Unique values in </t>
    </r>
    <r>
      <rPr>
        <b/>
        <sz val="11"/>
        <color theme="2" tint="-0.749992370372631"/>
        <rFont val="Aptos Narrow"/>
        <family val="2"/>
        <scheme val="minor"/>
      </rPr>
      <t>DEPARTMENT</t>
    </r>
    <r>
      <rPr>
        <sz val="11"/>
        <color theme="2" tint="-0.749992370372631"/>
        <rFont val="Aptos Narrow"/>
        <family val="2"/>
        <scheme val="minor"/>
      </rPr>
      <t xml:space="preserve"> column</t>
    </r>
  </si>
  <si>
    <r>
      <t xml:space="preserve">Unique values in </t>
    </r>
    <r>
      <rPr>
        <b/>
        <sz val="11"/>
        <color theme="2" tint="-0.749992370372631"/>
        <rFont val="Aptos Narrow"/>
        <family val="2"/>
        <scheme val="minor"/>
      </rPr>
      <t>COUNTRY</t>
    </r>
    <r>
      <rPr>
        <sz val="11"/>
        <color theme="2" tint="-0.749992370372631"/>
        <rFont val="Aptos Narrow"/>
        <family val="2"/>
        <scheme val="minor"/>
      </rPr>
      <t xml:space="preserve"> column</t>
    </r>
  </si>
  <si>
    <r>
      <t xml:space="preserve">Unique values in </t>
    </r>
    <r>
      <rPr>
        <b/>
        <sz val="11"/>
        <color theme="2" tint="-0.749992370372631"/>
        <rFont val="Aptos Narrow"/>
        <family val="2"/>
        <scheme val="minor"/>
      </rPr>
      <t xml:space="preserve">PERFORMANCE RATING </t>
    </r>
    <r>
      <rPr>
        <sz val="11"/>
        <color theme="2" tint="-0.749992370372631"/>
        <rFont val="Aptos Narrow"/>
        <family val="2"/>
        <scheme val="minor"/>
      </rPr>
      <t>column</t>
    </r>
  </si>
  <si>
    <t>HR</t>
  </si>
  <si>
    <t>IT</t>
  </si>
  <si>
    <t>USA</t>
  </si>
  <si>
    <t>UK</t>
  </si>
  <si>
    <t>Different performance rating scales were identified using the UNIQUE() function.</t>
  </si>
  <si>
    <t>SUM() is used to calculate total no.of employees were hired.</t>
  </si>
  <si>
    <t>UNIQUE() was used to identify distinct values in Gender column.</t>
  </si>
  <si>
    <t>COUNTBLANK() was used to count the  No. of Blank cell in each column.</t>
  </si>
  <si>
    <t>COUNTIF() was used to count total number of "N/A","Un-known" and "invalid_email" in Entire Table was identified to cross verify.</t>
  </si>
  <si>
    <t>This is consider to be "Blank" cell bcz "Date of Joining" coloumn is stored in Date data type; blank cells were automatically replaced with the default system date 00-01-1900</t>
  </si>
  <si>
    <r>
      <t xml:space="preserve">COUNTIF() was used to determine  total number of </t>
    </r>
    <r>
      <rPr>
        <b/>
        <sz val="11"/>
        <color theme="1"/>
        <rFont val="Aptos Narrow"/>
        <family val="2"/>
        <scheme val="minor"/>
      </rPr>
      <t xml:space="preserve">"N/A","Un-known" </t>
    </r>
    <r>
      <rPr>
        <sz val="11"/>
        <color theme="1"/>
        <rFont val="Aptos Narrow"/>
        <family val="2"/>
        <scheme val="minor"/>
      </rPr>
      <t>and</t>
    </r>
    <r>
      <rPr>
        <b/>
        <sz val="11"/>
        <color theme="1"/>
        <rFont val="Aptos Narrow"/>
        <family val="2"/>
        <scheme val="minor"/>
      </rPr>
      <t xml:space="preserve"> "invalid_email"</t>
    </r>
    <r>
      <rPr>
        <sz val="11"/>
        <color theme="1"/>
        <rFont val="Aptos Narrow"/>
        <family val="2"/>
        <scheme val="minor"/>
      </rPr>
      <t xml:space="preserve"> in each column was identified.</t>
    </r>
  </si>
  <si>
    <t>COUNTIF() was used to identify number of employees in each Gender.</t>
  </si>
  <si>
    <t>SUM() was used to aggregate the total no.of employees in each department.</t>
  </si>
  <si>
    <r>
      <t>COUNTIF() was used to identify  No. of employees in each deaprtment</t>
    </r>
    <r>
      <rPr>
        <b/>
        <sz val="11"/>
        <color theme="1"/>
        <rFont val="Aptos Narrow"/>
        <family val="2"/>
        <scheme val="minor"/>
      </rPr>
      <t>.</t>
    </r>
  </si>
  <si>
    <t>Un-known</t>
  </si>
  <si>
    <t xml:space="preserve">Employee Id </t>
  </si>
  <si>
    <t>DESCRIPTION OF IMPUTATION</t>
  </si>
  <si>
    <t>Column Names</t>
  </si>
  <si>
    <t xml:space="preserve"> Imputed Values</t>
  </si>
  <si>
    <t>Utilize UNIQUE COUNTA, COUNTBLANK,COUNTIF &amp; SUM Functions</t>
  </si>
  <si>
    <t>UNIQUE() utilised to determine the distinct values in Depatment column.</t>
  </si>
  <si>
    <t>UNIQUE() used to list the distinct values in Country column.</t>
  </si>
  <si>
    <t>COUNTIF() applied to determine the total No. of Employees in each country.</t>
  </si>
  <si>
    <t>SUM() applied to determine the overall employee count for all Country.</t>
  </si>
  <si>
    <t>COUNTIF() applied to calculate the employees count for each scale.</t>
  </si>
  <si>
    <t>SUM() applied to consolidate  performance rating across all employees.</t>
  </si>
  <si>
    <t>YEAR() used to extract the year from date &amp; UNIQUE() used to list out the distinct year in date column.</t>
  </si>
  <si>
    <t>COUNTIF() used to determine no. of employee hired in each year.</t>
  </si>
  <si>
    <t xml:space="preserve"> COUNTA() used to count total number of Employees</t>
  </si>
  <si>
    <t>DESCRIPTION OF USING FUNCTIONS</t>
  </si>
  <si>
    <t>Not Imputed bcz it has no blank cell.</t>
  </si>
  <si>
    <r>
      <rPr>
        <sz val="11"/>
        <color theme="2" tint="-0.749992370372631"/>
        <rFont val="Aptos Narrow"/>
        <family val="2"/>
        <scheme val="minor"/>
      </rPr>
      <t>Count of (blank) cell</t>
    </r>
    <r>
      <rPr>
        <b/>
        <sz val="11"/>
        <color theme="2" tint="-0.749992370372631"/>
        <rFont val="Aptos Narrow"/>
        <family val="2"/>
        <scheme val="minor"/>
      </rPr>
      <t>, N/A, Unknown, invalid_email in each column.</t>
    </r>
  </si>
  <si>
    <t>IMPUTATION</t>
  </si>
  <si>
    <t>DAY3 CHALLENGE-IMPUTATION &amp; BASIC FUNCTION (Part-1)</t>
  </si>
  <si>
    <t>DAY 2 CHALLENGE- DATA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</si>
</sst>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[$$-409]* #,##0_ ;_-[$$-409]* \-#,##0\ ;_-[$$-409]* &quot;-&quot;??_ ;_-@_ "/>
    <numFmt numFmtId="165" formatCode="_ &quot;₹&quot;\ * #,##0_ ;_ &quot;₹&quot;\ * \-#,##0_ ;_ &quot;₹&quot;\ * &quot;-&quot;??_ ;_ @_ "/>
    <numFmt numFmtId="167" formatCode="yyyy"/>
  </numFmts>
  <fonts count="14" x14ac:knownFonts="1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6"/>
      <color theme="4" tint="-0.499984740745262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  <font>
      <b/>
      <sz val="12"/>
      <color theme="1" tint="4.9989318521683403E-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2" tint="-0.749961851863155"/>
      <name val="Aptos Narrow"/>
      <family val="2"/>
      <scheme val="minor"/>
    </font>
    <font>
      <b/>
      <sz val="11"/>
      <color theme="2" tint="-0.749961851863155"/>
      <name val="Aptos Narrow"/>
      <family val="2"/>
      <scheme val="minor"/>
    </font>
    <font>
      <b/>
      <sz val="14"/>
      <color theme="4" tint="-0.499984740745262"/>
      <name val="Aptos Narrow"/>
      <family val="2"/>
    </font>
    <font>
      <b/>
      <sz val="12"/>
      <color indexed="81"/>
      <name val="Aptos Display"/>
      <family val="2"/>
      <scheme val="major"/>
    </font>
    <font>
      <sz val="12"/>
      <color indexed="81"/>
      <name val="Aptos Display"/>
      <family val="2"/>
      <scheme val="major"/>
    </font>
    <font>
      <b/>
      <sz val="18"/>
      <color theme="4" tint="-0.499984740745262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theme="1"/>
      </patternFill>
    </fill>
  </fills>
  <borders count="3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/>
      <right/>
      <top/>
      <bottom style="thin">
        <color theme="2" tint="-0.499984740745262"/>
      </bottom>
      <diagonal/>
    </border>
    <border>
      <left/>
      <right/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theme="2" tint="-0.499984740745262"/>
      </bottom>
      <diagonal/>
    </border>
    <border>
      <left/>
      <right/>
      <top/>
      <bottom style="thin">
        <color theme="2" tint="-0.749992370372631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theme="2" tint="-0.499984740745262"/>
      </left>
      <right/>
      <top style="thin">
        <color rgb="FF7F7F7F"/>
      </top>
      <bottom/>
      <diagonal/>
    </border>
    <border>
      <left style="thin">
        <color rgb="FF7F7F7F"/>
      </left>
      <right/>
      <top/>
      <bottom style="thin">
        <color theme="2" tint="-0.499984740745262"/>
      </bottom>
      <diagonal/>
    </border>
    <border>
      <left/>
      <right style="thin">
        <color rgb="FF7F7F7F"/>
      </right>
      <top/>
      <bottom/>
      <diagonal/>
    </border>
    <border>
      <left/>
      <right style="thin">
        <color theme="2" tint="-0.499984740745262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theme="2" tint="-0.499984740745262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theme="2" tint="-0.499984740745262"/>
      </top>
      <bottom style="thin">
        <color rgb="FF7F7F7F"/>
      </bottom>
      <diagonal/>
    </border>
    <border>
      <left/>
      <right style="thin">
        <color rgb="FF7F7F7F"/>
      </right>
      <top style="thin">
        <color theme="2" tint="-0.499984740745262"/>
      </top>
      <bottom style="thin">
        <color rgb="FF7F7F7F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theme="2" tint="-0.499984740745262"/>
      </right>
      <top style="thin">
        <color rgb="FF7F7F7F"/>
      </top>
      <bottom/>
      <diagonal/>
    </border>
    <border>
      <left style="thin">
        <color theme="2" tint="-0.499984740745262"/>
      </left>
      <right style="thin">
        <color rgb="FF7F7F7F"/>
      </right>
      <top/>
      <bottom style="thin">
        <color rgb="FF7F7F7F"/>
      </bottom>
      <diagonal/>
    </border>
    <border>
      <left style="thin">
        <color theme="2" tint="-0.499984740745262"/>
      </left>
      <right style="thin">
        <color rgb="FF7F7F7F"/>
      </right>
      <top/>
      <bottom/>
      <diagonal/>
    </border>
    <border>
      <left style="thin">
        <color theme="2" tint="-0.499984740745262"/>
      </left>
      <right style="thin">
        <color rgb="FF7F7F7F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/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8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0" xfId="0" applyBorder="1"/>
    <xf numFmtId="49" fontId="0" fillId="0" borderId="0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5" xfId="0" applyFill="1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4" xfId="0" applyNumberFormat="1" applyBorder="1" applyAlignment="1">
      <alignment horizontal="left"/>
    </xf>
    <xf numFmtId="49" fontId="0" fillId="0" borderId="0" xfId="0" applyNumberFormat="1" applyBorder="1"/>
    <xf numFmtId="14" fontId="0" fillId="0" borderId="0" xfId="0" applyNumberFormat="1" applyBorder="1"/>
    <xf numFmtId="1" fontId="0" fillId="0" borderId="0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49" fontId="6" fillId="4" borderId="0" xfId="0" applyNumberFormat="1" applyFont="1" applyFill="1" applyBorder="1" applyAlignment="1">
      <alignment horizontal="center" vertical="center" wrapText="1"/>
    </xf>
    <xf numFmtId="14" fontId="6" fillId="4" borderId="0" xfId="0" applyNumberFormat="1" applyFont="1" applyFill="1" applyBorder="1" applyAlignment="1">
      <alignment horizontal="center" vertical="center" wrapText="1"/>
    </xf>
    <xf numFmtId="2" fontId="6" fillId="4" borderId="0" xfId="0" applyNumberFormat="1" applyFont="1" applyFill="1" applyBorder="1" applyAlignment="1">
      <alignment horizontal="center" vertical="center" wrapText="1"/>
    </xf>
    <xf numFmtId="165" fontId="6" fillId="4" borderId="0" xfId="0" applyNumberFormat="1" applyFont="1" applyFill="1" applyBorder="1" applyAlignment="1">
      <alignment horizontal="center" vertical="center" wrapText="1"/>
    </xf>
    <xf numFmtId="165" fontId="0" fillId="0" borderId="0" xfId="0" applyNumberFormat="1" applyBorder="1"/>
    <xf numFmtId="165" fontId="0" fillId="0" borderId="0" xfId="0" applyNumberFormat="1"/>
    <xf numFmtId="164" fontId="0" fillId="0" borderId="0" xfId="0" applyNumberFormat="1" applyAlignment="1">
      <alignment horizontal="right"/>
    </xf>
    <xf numFmtId="49" fontId="6" fillId="4" borderId="16" xfId="0" applyNumberFormat="1" applyFont="1" applyFill="1" applyBorder="1" applyAlignment="1">
      <alignment horizontal="center" vertical="center" wrapText="1"/>
    </xf>
    <xf numFmtId="165" fontId="6" fillId="4" borderId="16" xfId="0" applyNumberFormat="1" applyFont="1" applyFill="1" applyBorder="1" applyAlignment="1">
      <alignment horizontal="center" vertical="center" wrapText="1"/>
    </xf>
    <xf numFmtId="14" fontId="6" fillId="4" borderId="16" xfId="0" applyNumberFormat="1" applyFont="1" applyFill="1" applyBorder="1" applyAlignment="1">
      <alignment horizontal="center" vertical="center" wrapText="1"/>
    </xf>
    <xf numFmtId="2" fontId="6" fillId="4" borderId="16" xfId="0" applyNumberFormat="1" applyFont="1" applyFill="1" applyBorder="1" applyAlignment="1">
      <alignment horizontal="center" vertical="center" wrapText="1"/>
    </xf>
    <xf numFmtId="164" fontId="0" fillId="0" borderId="0" xfId="0" applyNumberFormat="1" applyBorder="1" applyAlignment="1">
      <alignment horizontal="right"/>
    </xf>
    <xf numFmtId="14" fontId="0" fillId="0" borderId="0" xfId="0" applyNumberForma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1" fillId="2" borderId="1" xfId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2" xfId="1" applyBorder="1" applyAlignment="1">
      <alignment horizontal="center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wrapText="1"/>
    </xf>
    <xf numFmtId="0" fontId="1" fillId="2" borderId="0" xfId="1" applyBorder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0" xfId="0" applyAlignment="1">
      <alignment horizontal="left"/>
    </xf>
    <xf numFmtId="0" fontId="1" fillId="2" borderId="28" xfId="1" applyBorder="1" applyAlignment="1">
      <alignment horizontal="center"/>
    </xf>
    <xf numFmtId="0" fontId="1" fillId="2" borderId="29" xfId="1" applyBorder="1" applyAlignment="1">
      <alignment horizontal="center"/>
    </xf>
    <xf numFmtId="0" fontId="4" fillId="2" borderId="23" xfId="1" applyFont="1" applyBorder="1" applyAlignment="1">
      <alignment horizontal="center" vertical="center" wrapText="1"/>
    </xf>
    <xf numFmtId="0" fontId="4" fillId="2" borderId="26" xfId="1" applyFont="1" applyBorder="1" applyAlignment="1">
      <alignment horizontal="center" vertical="center" wrapText="1"/>
    </xf>
    <xf numFmtId="0" fontId="4" fillId="2" borderId="15" xfId="1" applyFont="1" applyBorder="1" applyAlignment="1">
      <alignment horizontal="center" vertical="center" wrapText="1"/>
    </xf>
    <xf numFmtId="49" fontId="4" fillId="2" borderId="23" xfId="1" applyNumberFormat="1" applyFont="1" applyBorder="1" applyAlignment="1">
      <alignment horizontal="center" vertical="center" wrapText="1"/>
    </xf>
    <xf numFmtId="49" fontId="4" fillId="2" borderId="26" xfId="1" applyNumberFormat="1" applyFont="1" applyBorder="1" applyAlignment="1">
      <alignment horizontal="center" vertical="center" wrapText="1"/>
    </xf>
    <xf numFmtId="49" fontId="4" fillId="2" borderId="15" xfId="1" applyNumberFormat="1" applyFont="1" applyBorder="1" applyAlignment="1">
      <alignment horizontal="center" vertical="center" wrapText="1"/>
    </xf>
    <xf numFmtId="49" fontId="4" fillId="2" borderId="21" xfId="1" applyNumberFormat="1" applyFont="1" applyBorder="1" applyAlignment="1">
      <alignment horizontal="center" vertical="center" wrapText="1"/>
    </xf>
    <xf numFmtId="49" fontId="4" fillId="2" borderId="27" xfId="1" applyNumberFormat="1" applyFont="1" applyBorder="1" applyAlignment="1">
      <alignment horizontal="center" vertical="center" wrapText="1"/>
    </xf>
    <xf numFmtId="49" fontId="4" fillId="2" borderId="2" xfId="1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2" xfId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2" borderId="1" xfId="1" applyAlignment="1">
      <alignment horizontal="center" vertical="center"/>
    </xf>
    <xf numFmtId="0" fontId="1" fillId="2" borderId="1" xfId="1" applyAlignment="1">
      <alignment horizontal="center" vertical="center" wrapText="1"/>
    </xf>
    <xf numFmtId="0" fontId="1" fillId="2" borderId="2" xfId="1" applyBorder="1" applyAlignment="1">
      <alignment horizontal="center" wrapText="1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2" xfId="0" applyBorder="1" applyAlignment="1">
      <alignment horizontal="center"/>
    </xf>
    <xf numFmtId="0" fontId="1" fillId="2" borderId="1" xfId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49" fontId="4" fillId="2" borderId="1" xfId="1" applyNumberFormat="1" applyFont="1" applyAlignment="1">
      <alignment horizontal="center" vertical="center" wrapText="1"/>
    </xf>
    <xf numFmtId="49" fontId="4" fillId="2" borderId="17" xfId="1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49" fontId="4" fillId="2" borderId="31" xfId="1" applyNumberFormat="1" applyFont="1" applyBorder="1" applyAlignment="1">
      <alignment horizontal="center" vertical="center" wrapText="1"/>
    </xf>
    <xf numFmtId="49" fontId="4" fillId="2" borderId="24" xfId="1" applyNumberFormat="1" applyFont="1" applyBorder="1" applyAlignment="1">
      <alignment horizontal="center" vertical="center" wrapText="1"/>
    </xf>
    <xf numFmtId="0" fontId="4" fillId="2" borderId="31" xfId="1" applyFont="1" applyBorder="1" applyAlignment="1">
      <alignment horizontal="center" vertical="center" wrapText="1"/>
    </xf>
    <xf numFmtId="0" fontId="4" fillId="2" borderId="24" xfId="1" applyFont="1" applyBorder="1" applyAlignment="1">
      <alignment horizontal="center" vertical="center" wrapText="1"/>
    </xf>
    <xf numFmtId="0" fontId="4" fillId="2" borderId="17" xfId="1" applyFont="1" applyBorder="1" applyAlignment="1">
      <alignment horizontal="center" vertical="center" wrapText="1"/>
    </xf>
    <xf numFmtId="49" fontId="4" fillId="0" borderId="18" xfId="0" applyNumberFormat="1" applyFont="1" applyFill="1" applyBorder="1" applyAlignment="1">
      <alignment horizontal="center" vertical="center" wrapText="1"/>
    </xf>
    <xf numFmtId="49" fontId="4" fillId="0" borderId="19" xfId="0" applyNumberFormat="1" applyFont="1" applyFill="1" applyBorder="1" applyAlignment="1">
      <alignment horizontal="center" vertical="center" wrapText="1"/>
    </xf>
    <xf numFmtId="49" fontId="4" fillId="0" borderId="20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1" fillId="2" borderId="21" xfId="1" applyBorder="1" applyAlignment="1">
      <alignment horizontal="center"/>
    </xf>
    <xf numFmtId="0" fontId="1" fillId="2" borderId="27" xfId="1" applyBorder="1" applyAlignment="1">
      <alignment horizontal="center"/>
    </xf>
    <xf numFmtId="167" fontId="0" fillId="3" borderId="3" xfId="0" applyNumberFormat="1" applyFill="1" applyBorder="1" applyAlignment="1">
      <alignment horizontal="left"/>
    </xf>
    <xf numFmtId="0" fontId="0" fillId="0" borderId="3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4" xfId="0" applyFill="1" applyBorder="1"/>
    <xf numFmtId="0" fontId="0" fillId="3" borderId="22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5" xfId="0" applyFill="1" applyBorder="1" applyAlignment="1">
      <alignment wrapText="1"/>
    </xf>
    <xf numFmtId="0" fontId="0" fillId="0" borderId="30" xfId="0" applyBorder="1"/>
    <xf numFmtId="0" fontId="0" fillId="0" borderId="30" xfId="0" applyFill="1" applyBorder="1"/>
    <xf numFmtId="0" fontId="0" fillId="0" borderId="30" xfId="0" applyFill="1" applyBorder="1" applyAlignment="1">
      <alignment wrapText="1"/>
    </xf>
    <xf numFmtId="0" fontId="1" fillId="2" borderId="1" xfId="1" applyAlignment="1"/>
    <xf numFmtId="0" fontId="0" fillId="0" borderId="0" xfId="0" applyFill="1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49" fontId="10" fillId="3" borderId="0" xfId="0" applyNumberFormat="1" applyFont="1" applyFill="1" applyBorder="1" applyAlignment="1">
      <alignment horizontal="center" vertical="center"/>
    </xf>
    <xf numFmtId="49" fontId="8" fillId="5" borderId="12" xfId="0" applyNumberFormat="1" applyFont="1" applyFill="1" applyBorder="1" applyAlignment="1">
      <alignment horizontal="center" vertical="center" wrapText="1"/>
    </xf>
    <xf numFmtId="49" fontId="4" fillId="2" borderId="3" xfId="1" applyNumberFormat="1" applyFont="1" applyBorder="1" applyAlignment="1">
      <alignment horizontal="center" vertical="center" wrapText="1"/>
    </xf>
    <xf numFmtId="49" fontId="4" fillId="2" borderId="5" xfId="1" applyNumberFormat="1" applyFont="1" applyBorder="1" applyAlignment="1">
      <alignment horizontal="center" vertical="center" wrapText="1"/>
    </xf>
    <xf numFmtId="49" fontId="9" fillId="5" borderId="8" xfId="0" applyNumberFormat="1" applyFont="1" applyFill="1" applyBorder="1" applyAlignment="1">
      <alignment horizontal="center" vertical="center" wrapText="1"/>
    </xf>
    <xf numFmtId="49" fontId="9" fillId="5" borderId="12" xfId="0" applyNumberFormat="1" applyFont="1" applyFill="1" applyBorder="1" applyAlignment="1">
      <alignment horizontal="center" vertical="center" wrapText="1"/>
    </xf>
    <xf numFmtId="49" fontId="9" fillId="5" borderId="9" xfId="0" applyNumberFormat="1" applyFont="1" applyFill="1" applyBorder="1" applyAlignment="1">
      <alignment horizontal="center" vertical="center" wrapText="1"/>
    </xf>
    <xf numFmtId="49" fontId="8" fillId="5" borderId="8" xfId="0" applyNumberFormat="1" applyFont="1" applyFill="1" applyBorder="1" applyAlignment="1">
      <alignment horizontal="center" vertical="center" wrapText="1"/>
    </xf>
    <xf numFmtId="49" fontId="8" fillId="5" borderId="10" xfId="0" applyNumberFormat="1" applyFont="1" applyFill="1" applyBorder="1" applyAlignment="1">
      <alignment horizontal="center" vertical="center" wrapText="1"/>
    </xf>
    <xf numFmtId="49" fontId="8" fillId="5" borderId="13" xfId="0" applyNumberFormat="1" applyFont="1" applyFill="1" applyBorder="1" applyAlignment="1">
      <alignment horizontal="center" vertical="center" wrapText="1"/>
    </xf>
    <xf numFmtId="49" fontId="8" fillId="5" borderId="9" xfId="0" applyNumberFormat="1" applyFont="1" applyFill="1" applyBorder="1" applyAlignment="1">
      <alignment horizontal="center" vertical="center" wrapText="1"/>
    </xf>
    <xf numFmtId="49" fontId="8" fillId="5" borderId="11" xfId="0" applyNumberFormat="1" applyFont="1" applyFill="1" applyBorder="1" applyAlignment="1">
      <alignment horizontal="center" vertical="center" wrapText="1"/>
    </xf>
    <xf numFmtId="0" fontId="1" fillId="2" borderId="33" xfId="1" applyBorder="1" applyAlignment="1">
      <alignment horizontal="center"/>
    </xf>
    <xf numFmtId="49" fontId="4" fillId="2" borderId="34" xfId="1" applyNumberFormat="1" applyFont="1" applyBorder="1" applyAlignment="1">
      <alignment horizontal="center" vertical="center" wrapText="1"/>
    </xf>
    <xf numFmtId="49" fontId="4" fillId="2" borderId="35" xfId="1" applyNumberFormat="1" applyFont="1" applyBorder="1" applyAlignment="1">
      <alignment horizontal="center" vertical="center" wrapText="1"/>
    </xf>
    <xf numFmtId="0" fontId="0" fillId="0" borderId="31" xfId="0" applyBorder="1"/>
    <xf numFmtId="49" fontId="9" fillId="5" borderId="36" xfId="0" applyNumberFormat="1" applyFont="1" applyFill="1" applyBorder="1" applyAlignment="1">
      <alignment horizontal="center" vertical="center" wrapText="1"/>
    </xf>
    <xf numFmtId="49" fontId="9" fillId="5" borderId="14" xfId="0" applyNumberFormat="1" applyFont="1" applyFill="1" applyBorder="1" applyAlignment="1">
      <alignment horizontal="center" vertical="center" wrapText="1"/>
    </xf>
    <xf numFmtId="49" fontId="9" fillId="5" borderId="25" xfId="0" applyNumberFormat="1" applyFont="1" applyFill="1" applyBorder="1" applyAlignment="1">
      <alignment horizontal="center" vertical="center" wrapText="1"/>
    </xf>
    <xf numFmtId="49" fontId="13" fillId="0" borderId="13" xfId="0" applyNumberFormat="1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/>
    </xf>
  </cellXfs>
  <cellStyles count="2">
    <cellStyle name="Calculation" xfId="1" builtinId="22"/>
    <cellStyle name="Normal" xfId="0" builtinId="0"/>
  </cellStyles>
  <dxfs count="45"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textRotation="0" indent="0" justifyLastLine="0" shrinkToFit="0" readingOrder="0"/>
    </dxf>
    <dxf>
      <numFmt numFmtId="164" formatCode="_-[$$-409]* #,##0_ ;_-[$$-409]* \-#,##0\ ;_-[$$-409]* &quot;-&quot;??_ ;_-@_ "/>
      <alignment horizontal="right" vertical="bottom" textRotation="0" wrapText="0" indent="0" justifyLastLine="0" shrinkToFit="0" readingOrder="0"/>
    </dxf>
    <dxf>
      <border outline="0">
        <bottom style="thin">
          <color theme="2" tint="-0.749992370372631"/>
        </bottom>
      </border>
    </dxf>
    <dxf>
      <border diagonalUp="0" diagonalDown="0">
        <left style="thin">
          <color theme="2" tint="-0.749992370372631"/>
        </left>
        <right style="thin">
          <color theme="2" tint="-0.749992370372631"/>
        </right>
        <top style="thin">
          <color theme="2" tint="-0.749992370372631"/>
        </top>
        <bottom style="thin">
          <color theme="2" tint="-0.749992370372631"/>
        </bottom>
      </border>
    </dxf>
    <dxf>
      <numFmt numFmtId="30" formatCode="@"/>
    </dxf>
    <dxf>
      <numFmt numFmtId="30" formatCode="@"/>
    </dxf>
    <dxf>
      <numFmt numFmtId="0" formatCode="General"/>
      <alignment horizontal="center" textRotation="0" indent="0" justifyLastLine="0" shrinkToFit="0" readingOrder="0"/>
    </dxf>
    <dxf>
      <numFmt numFmtId="30" formatCode="@"/>
      <alignment horizontal="center" textRotation="0" indent="0" justifyLastLine="0" shrinkToFit="0" readingOrder="0"/>
    </dxf>
    <dxf>
      <numFmt numFmtId="19" formatCode="dd/mm/yyyy"/>
    </dxf>
    <dxf>
      <numFmt numFmtId="165" formatCode="_ &quot;₹&quot;\ * #,##0_ ;_ &quot;₹&quot;\ * \-#,##0_ ;_ &quot;₹&quot;\ * &quot;-&quot;??_ ;_ @_ 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strike val="0"/>
        <outline val="0"/>
        <shadow val="0"/>
        <u val="none"/>
        <vertAlign val="baseline"/>
        <sz val="12"/>
        <color theme="1" tint="4.9989318521683403E-2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border>
        <left style="thin">
          <color theme="1" tint="0.34998626667073579"/>
        </left>
      </border>
    </dxf>
    <dxf>
      <border>
        <left style="thin">
          <color theme="1" tint="0.34998626667073579"/>
        </left>
      </border>
    </dxf>
    <dxf>
      <border>
        <top style="thin">
          <color theme="1" tint="0.34998626667073579"/>
        </top>
      </border>
    </dxf>
    <dxf>
      <border>
        <top style="thin">
          <color theme="1" tint="0.34998626667073579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 tint="0.34998626667073579"/>
        </top>
      </border>
    </dxf>
    <dxf>
      <font>
        <b/>
        <i val="0"/>
        <color theme="1"/>
      </font>
      <fill>
        <patternFill patternType="solid">
          <fgColor theme="1"/>
          <bgColor theme="0" tint="-4.9989318521683403E-2"/>
        </patternFill>
      </fill>
    </dxf>
    <dxf>
      <font>
        <color theme="1"/>
      </font>
      <border diagonalDown="1">
        <left/>
        <right/>
        <top/>
        <bottom/>
        <diagonal style="thin">
          <color theme="1" tint="0.34998626667073579"/>
        </diagonal>
      </border>
    </dxf>
    <dxf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top style="double">
          <color theme="2" tint="-0.24994659260841701"/>
        </top>
      </border>
    </dxf>
    <dxf>
      <font>
        <b/>
        <i val="0"/>
        <color theme="2" tint="-0.749961851863155"/>
      </font>
      <fill>
        <patternFill patternType="solid">
          <fgColor theme="1"/>
          <bgColor theme="0" tint="-4.9989318521683403E-2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 style="thin">
          <color theme="1" tint="0.34998626667073579"/>
        </vertical>
        <horizontal style="thin">
          <color theme="1" tint="0.34998626667073579"/>
        </horizontal>
      </border>
    </dxf>
    <dxf>
      <font>
        <color theme="1"/>
      </font>
      <border diagonalUp="1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diagonal style="thin">
          <color theme="1" tint="0.34998626667073579"/>
        </diagonal>
        <vertical/>
        <horizontal/>
      </border>
    </dxf>
    <dxf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  <vertical style="thin">
          <color theme="1" tint="0.34998626667073579"/>
        </vertical>
        <horizontal style="thin">
          <color theme="2"/>
        </horizontal>
      </border>
    </dxf>
    <dxf>
      <fill>
        <patternFill patternType="none">
          <fgColor indexed="64"/>
          <bgColor auto="1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2"/>
        </top>
        <bottom style="thin">
          <color theme="2"/>
        </bottom>
        <vertical style="thin">
          <color theme="1" tint="0.34998626667073579"/>
        </vertical>
        <horizontal style="thin">
          <color theme="2"/>
        </horizontal>
      </border>
    </dxf>
    <dxf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  <vertical style="thin">
          <color theme="1" tint="0.34998626667073579"/>
        </vertical>
        <horizontal style="thin">
          <color theme="2"/>
        </horizontal>
      </border>
    </dxf>
    <dxf>
      <fill>
        <patternFill patternType="none">
          <fgColor indexed="64"/>
          <bgColor auto="1"/>
        </patternFill>
      </fill>
      <border>
        <vertical style="thin">
          <color theme="1" tint="0.34998626667073579"/>
        </vertical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i val="0"/>
        <color theme="1"/>
      </font>
      <fill>
        <patternFill>
          <bgColor theme="0" tint="-4.9989318521683403E-2"/>
        </patternFill>
      </fill>
      <border>
        <bottom style="medium">
          <color theme="1"/>
        </bottom>
      </border>
    </dxf>
    <dxf>
      <font>
        <color theme="1"/>
      </font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 style="thin">
          <color theme="1" tint="0.34998626667073579"/>
        </vertical>
        <horizontal/>
      </border>
    </dxf>
  </dxfs>
  <tableStyles count="3" defaultTableStyle="TableStyleMedium2" defaultPivotStyle="PivotStyleLight16">
    <tableStyle name="TableStyleLight15 2" pivot="0" count="9" xr9:uid="{BEEB88DB-91B8-4466-B21C-EC1D8A186018}">
      <tableStyleElement type="wholeTable" dxfId="44"/>
      <tableStyleElement type="headerRow" dxfId="43"/>
      <tableStyleElement type="totalRow" dxfId="42"/>
      <tableStyleElement type="firstColumn" dxfId="41"/>
      <tableStyleElement type="lastColumn" dxfId="40"/>
      <tableStyleElement type="firstRowStripe" dxfId="39"/>
      <tableStyleElement type="secondRowStripe" dxfId="38"/>
      <tableStyleElement type="firstColumnStripe" dxfId="37"/>
      <tableStyleElement type="secondColumnStripe" dxfId="36"/>
    </tableStyle>
    <tableStyle name="TableStyleLight8 2" pivot="0" count="9" xr9:uid="{184F32DA-7185-4136-98B9-A40A98DF3C34}">
      <tableStyleElement type="wholeTable" dxfId="35"/>
      <tableStyleElement type="headerRow" dxfId="34"/>
      <tableStyleElement type="totalRow" dxfId="33"/>
      <tableStyleElement type="firstColumn" dxfId="32"/>
      <tableStyleElement type="lastColumn" dxfId="31"/>
      <tableStyleElement type="firstRowStripe" dxfId="30"/>
      <tableStyleElement type="secondRowStripe" dxfId="29"/>
      <tableStyleElement type="firstColumnStripe" dxfId="28"/>
      <tableStyleElement type="secondColumnStripe" dxfId="27"/>
    </tableStyle>
    <tableStyle name="TableStyleLight8 3" pivot="0" count="9" xr9:uid="{F2D4AA19-6470-452F-A881-214BB13AC022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secondRowStripe" dxfId="20"/>
      <tableStyleElement type="firstColumnStripe" dxfId="19"/>
      <tableStyleElement type="secondColumnStripe" dxfId="18"/>
    </tableStyle>
  </tableStyles>
  <colors>
    <mruColors>
      <color rgb="FF0018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629072</xdr:colOff>
      <xdr:row>48</xdr:row>
      <xdr:rowOff>47533</xdr:rowOff>
    </xdr:from>
    <xdr:to>
      <xdr:col>25</xdr:col>
      <xdr:colOff>790550</xdr:colOff>
      <xdr:row>50</xdr:row>
      <xdr:rowOff>100290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C042EF52-DF9B-496E-8F50-15EEDFA40D6D}"/>
            </a:ext>
          </a:extLst>
        </xdr:cNvPr>
        <xdr:cNvCxnSpPr/>
      </xdr:nvCxnSpPr>
      <xdr:spPr>
        <a:xfrm flipV="1">
          <a:off x="24517772" y="9382033"/>
          <a:ext cx="1618803" cy="433757"/>
        </a:xfrm>
        <a:prstGeom prst="straightConnector1">
          <a:avLst/>
        </a:prstGeom>
        <a:ln>
          <a:solidFill>
            <a:schemeClr val="bg2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28575</xdr:colOff>
      <xdr:row>84</xdr:row>
      <xdr:rowOff>0</xdr:rowOff>
    </xdr:from>
    <xdr:to>
      <xdr:col>27</xdr:col>
      <xdr:colOff>790575</xdr:colOff>
      <xdr:row>84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BDF3975-F3CD-DE7F-4E21-2A5F1740D0C8}"/>
            </a:ext>
          </a:extLst>
        </xdr:cNvPr>
        <xdr:cNvCxnSpPr/>
      </xdr:nvCxnSpPr>
      <xdr:spPr>
        <a:xfrm>
          <a:off x="27079575" y="16192500"/>
          <a:ext cx="762000" cy="0"/>
        </a:xfrm>
        <a:prstGeom prst="straightConnector1">
          <a:avLst/>
        </a:prstGeom>
        <a:ln>
          <a:solidFill>
            <a:schemeClr val="bg2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495722</xdr:colOff>
      <xdr:row>46</xdr:row>
      <xdr:rowOff>20406</xdr:rowOff>
    </xdr:from>
    <xdr:to>
      <xdr:col>14</xdr:col>
      <xdr:colOff>676275</xdr:colOff>
      <xdr:row>48</xdr:row>
      <xdr:rowOff>100290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2E35950-B7E9-48D0-AC14-FBE629D2CB98}"/>
            </a:ext>
          </a:extLst>
        </xdr:cNvPr>
        <xdr:cNvCxnSpPr/>
      </xdr:nvCxnSpPr>
      <xdr:spPr>
        <a:xfrm flipV="1">
          <a:off x="13287797" y="9516831"/>
          <a:ext cx="1456903" cy="460884"/>
        </a:xfrm>
        <a:prstGeom prst="straightConnector1">
          <a:avLst/>
        </a:prstGeom>
        <a:ln>
          <a:solidFill>
            <a:schemeClr val="bg2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28575</xdr:colOff>
      <xdr:row>82</xdr:row>
      <xdr:rowOff>0</xdr:rowOff>
    </xdr:from>
    <xdr:to>
      <xdr:col>16</xdr:col>
      <xdr:colOff>790575</xdr:colOff>
      <xdr:row>82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F004AB6-3A4A-4255-B40C-98478A2327F7}"/>
            </a:ext>
          </a:extLst>
        </xdr:cNvPr>
        <xdr:cNvCxnSpPr/>
      </xdr:nvCxnSpPr>
      <xdr:spPr>
        <a:xfrm>
          <a:off x="27079575" y="16192500"/>
          <a:ext cx="762000" cy="0"/>
        </a:xfrm>
        <a:prstGeom prst="straightConnector1">
          <a:avLst/>
        </a:prstGeom>
        <a:ln>
          <a:solidFill>
            <a:schemeClr val="bg2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ECAEDC-0F66-4383-B155-624F7BB0B418}" name="Cleaned_Data4" displayName="Cleaned_Data4" ref="A3:J153" totalsRowShown="0" headerRowDxfId="17">
  <autoFilter ref="A3:J153" xr:uid="{048008D2-69F8-47D2-B191-158950EF93E5}"/>
  <tableColumns count="10">
    <tableColumn id="1" xr3:uid="{5C292D19-62BA-4647-AB53-01FEA759EE69}" name="Employee ID" dataDxfId="16"/>
    <tableColumn id="2" xr3:uid="{7A2D90FB-AABF-4CB0-A911-10B9D1C9F4FC}" name="Names" dataDxfId="15"/>
    <tableColumn id="3" xr3:uid="{D842773E-39C1-490A-8F36-3E9C6E2E889F}" name="Department" dataDxfId="14"/>
    <tableColumn id="4" xr3:uid="{AA9379EE-99E7-401A-BF5B-9E931E39087A}" name="Country" dataDxfId="13"/>
    <tableColumn id="5" xr3:uid="{6BB53D14-9114-438A-AA05-AB452514AB9A}" name="Salary" dataDxfId="12"/>
    <tableColumn id="6" xr3:uid="{7FED9EF7-37A9-4B54-8066-F6219DA4A062}" name="Date of Joining" dataDxfId="11"/>
    <tableColumn id="12" xr3:uid="{ED2FF666-B2C7-4215-8CF2-3FF262EE2895}" name="Date of Joining Year" dataDxfId="10"/>
    <tableColumn id="7" xr3:uid="{2E1ED16B-58F7-470F-994C-87C50A64868F}" name="Performance Rating" dataDxfId="9"/>
    <tableColumn id="8" xr3:uid="{DF60F95F-1487-4C2F-B5C9-CE5E14E05329}" name="Gender" dataDxfId="8"/>
    <tableColumn id="9" xr3:uid="{BCDA29B7-B63F-4ACC-A487-F815E03EB86A}" name="Email" dataDxfId="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7D55983-0A69-445B-9A05-356679AD6645}" name="Table47" displayName="Table47" ref="A3:I153" totalsRowShown="0" headerRowBorderDxfId="5" tableBorderDxfId="6">
  <autoFilter ref="A3:I153" xr:uid="{B7D55983-0A69-445B-9A05-356679AD6645}"/>
  <tableColumns count="9">
    <tableColumn id="1" xr3:uid="{2EF91C7C-6567-40F9-B913-23DFE3E6AA84}" name="Employee ID">
      <calculatedColumnFormula>Cleaned_Data4[[#This Row],[Employee ID]]</calculatedColumnFormula>
    </tableColumn>
    <tableColumn id="2" xr3:uid="{4F0572A0-2B78-4458-80F4-757D76DB0A6A}" name="Names">
      <calculatedColumnFormula>IF(Cleaned_Data4[[#This Row],[Names]]="","Un-known",Cleaned_Data4[[#This Row],[Names]])</calculatedColumnFormula>
    </tableColumn>
    <tableColumn id="3" xr3:uid="{3E9D784C-BEF2-491E-96FB-240C7E599464}" name="Department">
      <calculatedColumnFormula>IF(Cleaned_Data4[[#This Row],[Department]]="","Un-known",Cleaned_Data4[[#This Row],[Department]])</calculatedColumnFormula>
    </tableColumn>
    <tableColumn id="4" xr3:uid="{8E6AF616-F95B-4D5D-BA19-B44D55067595}" name="Country">
      <calculatedColumnFormula>IF(Cleaned_Data4[[#This Row],[Country]]="","Un-known",Cleaned_Data4[[#This Row],[Country]])</calculatedColumnFormula>
    </tableColumn>
    <tableColumn id="5" xr3:uid="{EDA39573-0AEE-4D21-9E2C-77E8CAE46B8B}" name="Salary" dataDxfId="4">
      <calculatedColumnFormula>IF(Cleaned_Data4[[#This Row],[Salary]]="N/A","0",Cleaned_Data4[[#This Row],[Salary]])</calculatedColumnFormula>
    </tableColumn>
    <tableColumn id="6" xr3:uid="{1EA11C8F-4620-4B6C-85EA-E5BD9A124CF4}" name="Date of Joining" dataDxfId="3">
      <calculatedColumnFormula>IF(Cleaned_Data4[[#This Row],[Date of Joining]]="","Un-known",Cleaned_Data4[[#This Row],[Date of Joining]])</calculatedColumnFormula>
    </tableColumn>
    <tableColumn id="7" xr3:uid="{411059E0-F68A-4DEB-9EB9-5BA4EDE09ABC}" name="Performance Rating" dataDxfId="2">
      <calculatedColumnFormula>IF(Cleaned_Data4[[#This Row],[Performance Rating]]="","N/A",Cleaned_Data4[[#This Row],[Performance Rating]])</calculatedColumnFormula>
    </tableColumn>
    <tableColumn id="8" xr3:uid="{CFE276BC-7068-4B8E-9BCD-B1040A6C57B0}" name="Gender">
      <calculatedColumnFormula>IF(Cleaned_Data4[[#This Row],[Gender]]="","Un-known",Cleaned_Data4[[#This Row],[Gender]])</calculatedColumnFormula>
    </tableColumn>
    <tableColumn id="9" xr3:uid="{7C915CDA-3F1C-46DA-B91F-5E7C660C0231}" name="Email">
      <calculatedColumnFormula>IF(Cleaned_Data4[[#This Row],[Email]]="","invalid_email",Cleaned_Data4[[#This Row],[Email]])</calculatedColumnFormula>
    </tableColumn>
  </tableColumns>
  <tableStyleInfo name="TableStyleLight8 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3ABD-604F-4E25-A777-49995980BBFD}">
  <dimension ref="A1:AS153"/>
  <sheetViews>
    <sheetView zoomScaleNormal="100" workbookViewId="0">
      <selection sqref="A1:J2"/>
    </sheetView>
  </sheetViews>
  <sheetFormatPr defaultRowHeight="15" x14ac:dyDescent="0.25"/>
  <cols>
    <col min="1" max="1" width="17.140625" style="1" customWidth="1"/>
    <col min="2" max="2" width="13.28515625" style="1" customWidth="1"/>
    <col min="3" max="3" width="16.42578125" style="1" bestFit="1" customWidth="1"/>
    <col min="4" max="4" width="14.28515625" style="1" customWidth="1"/>
    <col min="5" max="5" width="13.7109375" style="29" customWidth="1"/>
    <col min="6" max="6" width="18.7109375" style="2" customWidth="1"/>
    <col min="7" max="7" width="23.85546875" style="3" customWidth="1"/>
    <col min="8" max="8" width="15.85546875" style="4" customWidth="1"/>
    <col min="9" max="9" width="14.28515625" style="1" customWidth="1"/>
    <col min="10" max="10" width="24.5703125" style="1" customWidth="1"/>
    <col min="11" max="11" width="9" customWidth="1"/>
    <col min="12" max="12" width="17.140625" bestFit="1" customWidth="1"/>
    <col min="13" max="13" width="17.7109375" customWidth="1"/>
    <col min="14" max="14" width="16.7109375" bestFit="1" customWidth="1"/>
    <col min="15" max="15" width="12.85546875" bestFit="1" customWidth="1"/>
    <col min="16" max="16" width="13.7109375" style="30" customWidth="1"/>
    <col min="17" max="17" width="19.140625" style="5" bestFit="1" customWidth="1"/>
    <col min="18" max="18" width="24.28515625" bestFit="1" customWidth="1"/>
    <col min="19" max="19" width="11.42578125" customWidth="1"/>
    <col min="20" max="20" width="23.140625" customWidth="1"/>
    <col min="21" max="21" width="10.140625" customWidth="1"/>
    <col min="22" max="22" width="22.28515625" bestFit="1" customWidth="1"/>
    <col min="23" max="23" width="12.42578125" customWidth="1"/>
    <col min="24" max="24" width="11.85546875" bestFit="1" customWidth="1"/>
    <col min="25" max="25" width="10" customWidth="1"/>
    <col min="26" max="26" width="13" customWidth="1"/>
    <col min="27" max="27" width="12.5703125" customWidth="1"/>
    <col min="28" max="28" width="12.140625" customWidth="1"/>
    <col min="31" max="31" width="9.85546875" customWidth="1"/>
    <col min="32" max="32" width="11.140625" customWidth="1"/>
    <col min="33" max="33" width="13.28515625" customWidth="1"/>
  </cols>
  <sheetData>
    <row r="1" spans="1:17" ht="17.25" customHeight="1" x14ac:dyDescent="0.25">
      <c r="A1" s="48" t="s">
        <v>333</v>
      </c>
      <c r="B1" s="48"/>
      <c r="C1" s="48"/>
      <c r="D1" s="48"/>
      <c r="E1" s="48"/>
      <c r="F1" s="48"/>
      <c r="G1" s="48"/>
      <c r="H1" s="48"/>
      <c r="I1" s="48"/>
      <c r="J1" s="48"/>
    </row>
    <row r="2" spans="1:17" ht="18" customHeigh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</row>
    <row r="3" spans="1:17" ht="30.75" customHeight="1" x14ac:dyDescent="0.25">
      <c r="A3" s="24" t="s">
        <v>0</v>
      </c>
      <c r="B3" s="24" t="s">
        <v>1</v>
      </c>
      <c r="C3" s="24" t="s">
        <v>2</v>
      </c>
      <c r="D3" s="24" t="s">
        <v>3</v>
      </c>
      <c r="E3" s="27" t="s">
        <v>4</v>
      </c>
      <c r="F3" s="25" t="s">
        <v>5</v>
      </c>
      <c r="G3" s="24" t="s">
        <v>281</v>
      </c>
      <c r="H3" s="26" t="s">
        <v>6</v>
      </c>
      <c r="I3" s="24" t="s">
        <v>7</v>
      </c>
      <c r="J3" s="24" t="s">
        <v>8</v>
      </c>
      <c r="P3"/>
      <c r="Q3"/>
    </row>
    <row r="4" spans="1:17" x14ac:dyDescent="0.25">
      <c r="A4" s="10" t="s">
        <v>9</v>
      </c>
      <c r="B4" s="20" t="s">
        <v>10</v>
      </c>
      <c r="C4" s="20" t="s">
        <v>11</v>
      </c>
      <c r="D4" s="20" t="s">
        <v>10</v>
      </c>
      <c r="E4" s="28" t="s">
        <v>12</v>
      </c>
      <c r="F4" s="21"/>
      <c r="G4" s="11">
        <f>YEAR(Cleaned_Data4[[#This Row],[Date of Joining]])</f>
        <v>1900</v>
      </c>
      <c r="H4" s="22">
        <v>2</v>
      </c>
      <c r="I4" s="20" t="s">
        <v>13</v>
      </c>
      <c r="J4" s="20" t="s">
        <v>14</v>
      </c>
      <c r="P4"/>
      <c r="Q4"/>
    </row>
    <row r="5" spans="1:17" ht="15" customHeight="1" x14ac:dyDescent="0.25">
      <c r="A5" s="20" t="s">
        <v>15</v>
      </c>
      <c r="B5" s="20" t="s">
        <v>16</v>
      </c>
      <c r="C5" s="20" t="s">
        <v>299</v>
      </c>
      <c r="D5" s="20" t="s">
        <v>17</v>
      </c>
      <c r="E5" s="28">
        <v>54255</v>
      </c>
      <c r="F5" s="21">
        <v>42015</v>
      </c>
      <c r="G5" s="11">
        <f t="shared" ref="G5:G36" si="0">YEAR(F5)</f>
        <v>2015</v>
      </c>
      <c r="H5" s="23">
        <v>1</v>
      </c>
      <c r="I5" s="20" t="s">
        <v>18</v>
      </c>
      <c r="J5" s="20" t="s">
        <v>19</v>
      </c>
      <c r="P5"/>
      <c r="Q5"/>
    </row>
    <row r="6" spans="1:17" ht="15" customHeight="1" x14ac:dyDescent="0.25">
      <c r="A6" s="20" t="s">
        <v>20</v>
      </c>
      <c r="B6" s="20" t="s">
        <v>21</v>
      </c>
      <c r="C6" s="20" t="s">
        <v>11</v>
      </c>
      <c r="D6" s="20" t="s">
        <v>17</v>
      </c>
      <c r="E6" s="28">
        <v>63184</v>
      </c>
      <c r="F6" s="21">
        <v>42022</v>
      </c>
      <c r="G6" s="11">
        <f t="shared" si="0"/>
        <v>2015</v>
      </c>
      <c r="H6" s="23">
        <v>2</v>
      </c>
      <c r="I6" s="20" t="s">
        <v>10</v>
      </c>
      <c r="J6" s="20" t="s">
        <v>22</v>
      </c>
      <c r="P6"/>
      <c r="Q6"/>
    </row>
    <row r="7" spans="1:17" ht="15" customHeight="1" x14ac:dyDescent="0.25">
      <c r="A7" s="20" t="s">
        <v>23</v>
      </c>
      <c r="B7" s="20" t="s">
        <v>24</v>
      </c>
      <c r="C7" s="20" t="s">
        <v>25</v>
      </c>
      <c r="D7" s="20" t="s">
        <v>301</v>
      </c>
      <c r="E7" s="28">
        <v>94406</v>
      </c>
      <c r="F7" s="21">
        <v>42029</v>
      </c>
      <c r="G7" s="11">
        <f t="shared" si="0"/>
        <v>2015</v>
      </c>
      <c r="H7" s="23">
        <v>1</v>
      </c>
      <c r="I7" s="20" t="s">
        <v>26</v>
      </c>
      <c r="J7" s="20" t="s">
        <v>27</v>
      </c>
      <c r="P7"/>
      <c r="Q7"/>
    </row>
    <row r="8" spans="1:17" ht="15" customHeight="1" x14ac:dyDescent="0.25">
      <c r="A8" s="20" t="s">
        <v>28</v>
      </c>
      <c r="B8" s="20" t="s">
        <v>29</v>
      </c>
      <c r="C8" s="20" t="s">
        <v>25</v>
      </c>
      <c r="D8" s="20" t="s">
        <v>17</v>
      </c>
      <c r="E8" s="28">
        <v>64120</v>
      </c>
      <c r="F8" s="21">
        <v>42036</v>
      </c>
      <c r="G8" s="11">
        <f t="shared" si="0"/>
        <v>2015</v>
      </c>
      <c r="H8" s="23">
        <v>1</v>
      </c>
      <c r="I8" s="20" t="s">
        <v>26</v>
      </c>
      <c r="J8" s="20" t="s">
        <v>30</v>
      </c>
      <c r="P8"/>
      <c r="Q8"/>
    </row>
    <row r="9" spans="1:17" ht="15" customHeight="1" x14ac:dyDescent="0.25">
      <c r="A9" s="20" t="s">
        <v>31</v>
      </c>
      <c r="B9" s="20" t="s">
        <v>21</v>
      </c>
      <c r="C9" s="20" t="s">
        <v>300</v>
      </c>
      <c r="D9" s="20" t="s">
        <v>32</v>
      </c>
      <c r="E9" s="28">
        <v>78421</v>
      </c>
      <c r="F9" s="21">
        <v>42043</v>
      </c>
      <c r="G9" s="11">
        <f t="shared" si="0"/>
        <v>2015</v>
      </c>
      <c r="H9" s="23">
        <v>2</v>
      </c>
      <c r="I9" s="20" t="s">
        <v>33</v>
      </c>
      <c r="J9" s="20" t="s">
        <v>34</v>
      </c>
      <c r="P9"/>
      <c r="Q9"/>
    </row>
    <row r="10" spans="1:17" ht="15" customHeight="1" x14ac:dyDescent="0.25">
      <c r="A10" s="20" t="s">
        <v>35</v>
      </c>
      <c r="B10" s="20" t="s">
        <v>36</v>
      </c>
      <c r="C10" s="20" t="s">
        <v>25</v>
      </c>
      <c r="D10" s="20" t="s">
        <v>10</v>
      </c>
      <c r="E10" s="28">
        <v>67721</v>
      </c>
      <c r="F10" s="21">
        <v>42050</v>
      </c>
      <c r="G10" s="11">
        <f t="shared" si="0"/>
        <v>2015</v>
      </c>
      <c r="H10" s="22" t="s">
        <v>10</v>
      </c>
      <c r="I10" s="20" t="s">
        <v>26</v>
      </c>
      <c r="J10" s="20" t="s">
        <v>27</v>
      </c>
      <c r="P10"/>
      <c r="Q10"/>
    </row>
    <row r="11" spans="1:17" ht="15" customHeight="1" x14ac:dyDescent="0.25">
      <c r="A11" s="20" t="s">
        <v>37</v>
      </c>
      <c r="B11" s="20" t="s">
        <v>38</v>
      </c>
      <c r="C11" s="20" t="s">
        <v>39</v>
      </c>
      <c r="D11" s="20" t="s">
        <v>10</v>
      </c>
      <c r="E11" s="28">
        <v>35364</v>
      </c>
      <c r="F11" s="21">
        <v>42057</v>
      </c>
      <c r="G11" s="11">
        <f t="shared" si="0"/>
        <v>2015</v>
      </c>
      <c r="H11" s="23">
        <v>2</v>
      </c>
      <c r="I11" s="20" t="s">
        <v>18</v>
      </c>
      <c r="J11" s="20" t="s">
        <v>40</v>
      </c>
      <c r="P11"/>
      <c r="Q11"/>
    </row>
    <row r="12" spans="1:17" ht="15" customHeight="1" x14ac:dyDescent="0.25">
      <c r="A12" s="10" t="s">
        <v>41</v>
      </c>
      <c r="B12" s="20" t="s">
        <v>21</v>
      </c>
      <c r="C12" s="20" t="s">
        <v>300</v>
      </c>
      <c r="D12" s="20" t="s">
        <v>17</v>
      </c>
      <c r="E12" s="28">
        <v>97881</v>
      </c>
      <c r="F12" s="21">
        <v>42064</v>
      </c>
      <c r="G12" s="11">
        <f t="shared" si="0"/>
        <v>2015</v>
      </c>
      <c r="H12" s="22" t="s">
        <v>10</v>
      </c>
      <c r="I12" s="20" t="s">
        <v>33</v>
      </c>
      <c r="J12" s="20" t="s">
        <v>42</v>
      </c>
      <c r="P12"/>
      <c r="Q12"/>
    </row>
    <row r="13" spans="1:17" ht="15" customHeight="1" x14ac:dyDescent="0.25">
      <c r="A13" s="20" t="s">
        <v>43</v>
      </c>
      <c r="B13" s="20" t="s">
        <v>38</v>
      </c>
      <c r="C13" s="20" t="s">
        <v>299</v>
      </c>
      <c r="D13" s="20" t="s">
        <v>302</v>
      </c>
      <c r="E13" s="28">
        <v>91846</v>
      </c>
      <c r="F13" s="21">
        <v>42071</v>
      </c>
      <c r="G13" s="11">
        <f t="shared" si="0"/>
        <v>2015</v>
      </c>
      <c r="H13" s="22" t="s">
        <v>10</v>
      </c>
      <c r="I13" s="20" t="s">
        <v>26</v>
      </c>
      <c r="J13" s="20" t="s">
        <v>44</v>
      </c>
      <c r="P13"/>
      <c r="Q13"/>
    </row>
    <row r="14" spans="1:17" ht="15" customHeight="1" x14ac:dyDescent="0.25">
      <c r="A14" s="20" t="s">
        <v>45</v>
      </c>
      <c r="B14" s="20" t="s">
        <v>36</v>
      </c>
      <c r="C14" s="20" t="s">
        <v>11</v>
      </c>
      <c r="D14" s="20" t="s">
        <v>302</v>
      </c>
      <c r="E14" s="28">
        <v>64247</v>
      </c>
      <c r="F14" s="21">
        <v>42078</v>
      </c>
      <c r="G14" s="11">
        <f t="shared" si="0"/>
        <v>2015</v>
      </c>
      <c r="H14" s="23">
        <v>1</v>
      </c>
      <c r="I14" s="20" t="s">
        <v>33</v>
      </c>
      <c r="J14" s="20" t="s">
        <v>46</v>
      </c>
      <c r="P14"/>
      <c r="Q14"/>
    </row>
    <row r="15" spans="1:17" ht="15" customHeight="1" x14ac:dyDescent="0.25">
      <c r="A15" s="20" t="s">
        <v>47</v>
      </c>
      <c r="B15" s="20" t="s">
        <v>36</v>
      </c>
      <c r="C15" s="20" t="s">
        <v>300</v>
      </c>
      <c r="D15" s="20" t="s">
        <v>301</v>
      </c>
      <c r="E15" s="28">
        <v>91180</v>
      </c>
      <c r="F15" s="21">
        <v>42085</v>
      </c>
      <c r="G15" s="11">
        <f t="shared" si="0"/>
        <v>2015</v>
      </c>
      <c r="H15" s="23">
        <v>5</v>
      </c>
      <c r="I15" s="20" t="s">
        <v>26</v>
      </c>
      <c r="J15" s="20" t="s">
        <v>48</v>
      </c>
      <c r="P15"/>
      <c r="Q15"/>
    </row>
    <row r="16" spans="1:17" x14ac:dyDescent="0.25">
      <c r="A16" s="20" t="s">
        <v>49</v>
      </c>
      <c r="B16" s="20" t="s">
        <v>50</v>
      </c>
      <c r="C16" s="20" t="s">
        <v>25</v>
      </c>
      <c r="D16" s="20" t="s">
        <v>10</v>
      </c>
      <c r="E16" s="28">
        <v>96418</v>
      </c>
      <c r="F16" s="21">
        <v>42092</v>
      </c>
      <c r="G16" s="11">
        <f t="shared" si="0"/>
        <v>2015</v>
      </c>
      <c r="H16" s="23">
        <v>5</v>
      </c>
      <c r="I16" s="20" t="s">
        <v>26</v>
      </c>
      <c r="J16" s="20" t="s">
        <v>19</v>
      </c>
      <c r="P16"/>
      <c r="Q16"/>
    </row>
    <row r="17" spans="1:45" ht="15" customHeight="1" x14ac:dyDescent="0.25">
      <c r="A17" s="20" t="s">
        <v>51</v>
      </c>
      <c r="B17" s="20" t="s">
        <v>36</v>
      </c>
      <c r="C17" s="20" t="s">
        <v>10</v>
      </c>
      <c r="D17" s="20" t="s">
        <v>32</v>
      </c>
      <c r="E17" s="28">
        <v>62158</v>
      </c>
      <c r="F17" s="21">
        <v>42099</v>
      </c>
      <c r="G17" s="11">
        <f t="shared" si="0"/>
        <v>2015</v>
      </c>
      <c r="H17" s="23">
        <v>4</v>
      </c>
      <c r="I17" s="20" t="s">
        <v>10</v>
      </c>
      <c r="J17" s="20" t="s">
        <v>52</v>
      </c>
      <c r="P17"/>
      <c r="Q17"/>
    </row>
    <row r="18" spans="1:45" x14ac:dyDescent="0.25">
      <c r="A18" s="20" t="s">
        <v>53</v>
      </c>
      <c r="B18" s="20" t="s">
        <v>29</v>
      </c>
      <c r="C18" s="20" t="s">
        <v>299</v>
      </c>
      <c r="D18" s="20" t="s">
        <v>10</v>
      </c>
      <c r="E18" s="28">
        <v>59894</v>
      </c>
      <c r="F18" s="21">
        <v>42106</v>
      </c>
      <c r="G18" s="11">
        <f t="shared" si="0"/>
        <v>2015</v>
      </c>
      <c r="H18" s="23">
        <v>2</v>
      </c>
      <c r="I18" s="20" t="s">
        <v>26</v>
      </c>
      <c r="J18" s="20" t="s">
        <v>54</v>
      </c>
      <c r="P18"/>
      <c r="Q18"/>
    </row>
    <row r="19" spans="1:45" x14ac:dyDescent="0.25">
      <c r="A19" s="20" t="s">
        <v>55</v>
      </c>
      <c r="B19" s="20" t="s">
        <v>10</v>
      </c>
      <c r="C19" s="20" t="s">
        <v>300</v>
      </c>
      <c r="D19" s="20" t="s">
        <v>32</v>
      </c>
      <c r="E19" s="28">
        <v>92443</v>
      </c>
      <c r="F19" s="21">
        <v>42113</v>
      </c>
      <c r="G19" s="11">
        <f t="shared" si="0"/>
        <v>2015</v>
      </c>
      <c r="H19" s="23">
        <v>3</v>
      </c>
      <c r="I19" s="20" t="s">
        <v>18</v>
      </c>
      <c r="J19" s="20" t="s">
        <v>56</v>
      </c>
      <c r="K19" s="10"/>
      <c r="P19"/>
      <c r="Q19"/>
    </row>
    <row r="20" spans="1:45" x14ac:dyDescent="0.25">
      <c r="A20" s="20" t="s">
        <v>57</v>
      </c>
      <c r="B20" s="20" t="s">
        <v>50</v>
      </c>
      <c r="C20" s="20" t="s">
        <v>10</v>
      </c>
      <c r="D20" s="20" t="s">
        <v>17</v>
      </c>
      <c r="E20" s="28">
        <v>90271</v>
      </c>
      <c r="F20" s="21">
        <v>42120</v>
      </c>
      <c r="G20" s="11">
        <f t="shared" si="0"/>
        <v>2015</v>
      </c>
      <c r="H20" s="22" t="s">
        <v>10</v>
      </c>
      <c r="I20" s="20" t="s">
        <v>10</v>
      </c>
      <c r="J20" s="20" t="s">
        <v>58</v>
      </c>
      <c r="K20" s="10"/>
      <c r="P20"/>
      <c r="Q20"/>
      <c r="AM20" s="47"/>
      <c r="AN20" s="47"/>
      <c r="AO20" s="47"/>
      <c r="AQ20" s="47"/>
      <c r="AR20" s="47"/>
      <c r="AS20" s="47"/>
    </row>
    <row r="21" spans="1:45" ht="15" customHeight="1" x14ac:dyDescent="0.25">
      <c r="A21" s="20" t="s">
        <v>59</v>
      </c>
      <c r="B21" s="20" t="s">
        <v>29</v>
      </c>
      <c r="C21" s="20" t="s">
        <v>11</v>
      </c>
      <c r="D21" s="20" t="s">
        <v>60</v>
      </c>
      <c r="E21" s="28">
        <v>41341</v>
      </c>
      <c r="F21" s="21">
        <v>42127</v>
      </c>
      <c r="G21" s="11">
        <f t="shared" si="0"/>
        <v>2015</v>
      </c>
      <c r="H21" s="23">
        <v>1</v>
      </c>
      <c r="I21" s="20" t="s">
        <v>18</v>
      </c>
      <c r="J21" s="20" t="s">
        <v>61</v>
      </c>
      <c r="K21" s="10"/>
      <c r="P21"/>
      <c r="Q21"/>
    </row>
    <row r="22" spans="1:45" x14ac:dyDescent="0.25">
      <c r="A22" s="20" t="s">
        <v>62</v>
      </c>
      <c r="B22" s="20" t="s">
        <v>21</v>
      </c>
      <c r="C22" s="20" t="s">
        <v>11</v>
      </c>
      <c r="D22" s="20" t="s">
        <v>302</v>
      </c>
      <c r="E22" s="28">
        <v>73602</v>
      </c>
      <c r="F22" s="21">
        <v>42134</v>
      </c>
      <c r="G22" s="11">
        <f t="shared" si="0"/>
        <v>2015</v>
      </c>
      <c r="H22" s="22" t="s">
        <v>10</v>
      </c>
      <c r="I22" s="20" t="s">
        <v>10</v>
      </c>
      <c r="J22" s="20" t="s">
        <v>63</v>
      </c>
      <c r="K22" s="10"/>
      <c r="P22"/>
      <c r="Q22"/>
    </row>
    <row r="23" spans="1:45" ht="15" customHeight="1" x14ac:dyDescent="0.25">
      <c r="A23" s="20" t="s">
        <v>64</v>
      </c>
      <c r="B23" s="20" t="s">
        <v>16</v>
      </c>
      <c r="C23" s="20" t="s">
        <v>10</v>
      </c>
      <c r="D23" s="20" t="s">
        <v>32</v>
      </c>
      <c r="E23" s="28">
        <v>67531</v>
      </c>
      <c r="F23" s="21">
        <v>42141</v>
      </c>
      <c r="G23" s="11">
        <f t="shared" si="0"/>
        <v>2015</v>
      </c>
      <c r="H23" s="23">
        <v>5</v>
      </c>
      <c r="I23" s="20" t="s">
        <v>33</v>
      </c>
      <c r="J23" s="20" t="s">
        <v>65</v>
      </c>
      <c r="K23" s="10"/>
      <c r="P23"/>
      <c r="Q23"/>
    </row>
    <row r="24" spans="1:45" x14ac:dyDescent="0.25">
      <c r="A24" s="20" t="s">
        <v>66</v>
      </c>
      <c r="B24" s="20" t="s">
        <v>29</v>
      </c>
      <c r="C24" s="20" t="s">
        <v>299</v>
      </c>
      <c r="D24" s="20" t="s">
        <v>301</v>
      </c>
      <c r="E24" s="28" t="s">
        <v>12</v>
      </c>
      <c r="F24" s="21">
        <v>42148</v>
      </c>
      <c r="G24" s="11">
        <f t="shared" si="0"/>
        <v>2015</v>
      </c>
      <c r="H24" s="23">
        <v>2</v>
      </c>
      <c r="I24" s="20" t="s">
        <v>18</v>
      </c>
      <c r="J24" s="20" t="s">
        <v>67</v>
      </c>
      <c r="P24"/>
      <c r="Q24"/>
    </row>
    <row r="25" spans="1:45" ht="15" customHeight="1" x14ac:dyDescent="0.25">
      <c r="A25" s="20" t="s">
        <v>68</v>
      </c>
      <c r="B25" s="20" t="s">
        <v>29</v>
      </c>
      <c r="C25" s="20" t="s">
        <v>299</v>
      </c>
      <c r="D25" s="20" t="s">
        <v>10</v>
      </c>
      <c r="E25" s="28">
        <v>98922</v>
      </c>
      <c r="F25" s="21">
        <v>42155</v>
      </c>
      <c r="G25" s="11">
        <f t="shared" si="0"/>
        <v>2015</v>
      </c>
      <c r="H25" s="23">
        <v>4</v>
      </c>
      <c r="I25" s="20" t="s">
        <v>10</v>
      </c>
      <c r="J25" s="20" t="s">
        <v>69</v>
      </c>
      <c r="P25"/>
      <c r="Q25"/>
    </row>
    <row r="26" spans="1:45" ht="15" customHeight="1" x14ac:dyDescent="0.25">
      <c r="A26" s="20" t="s">
        <v>70</v>
      </c>
      <c r="B26" s="20" t="s">
        <v>16</v>
      </c>
      <c r="C26" s="20" t="s">
        <v>11</v>
      </c>
      <c r="D26" s="20" t="s">
        <v>32</v>
      </c>
      <c r="E26" s="28">
        <v>38333</v>
      </c>
      <c r="F26" s="21">
        <v>42162</v>
      </c>
      <c r="G26" s="11">
        <f t="shared" si="0"/>
        <v>2015</v>
      </c>
      <c r="H26" s="23">
        <v>5</v>
      </c>
      <c r="I26" s="20" t="s">
        <v>10</v>
      </c>
      <c r="J26" s="20" t="s">
        <v>71</v>
      </c>
      <c r="P26"/>
      <c r="Q26"/>
    </row>
    <row r="27" spans="1:45" ht="15" customHeight="1" x14ac:dyDescent="0.25">
      <c r="A27" s="20" t="s">
        <v>72</v>
      </c>
      <c r="B27" s="20" t="s">
        <v>21</v>
      </c>
      <c r="C27" s="20" t="s">
        <v>39</v>
      </c>
      <c r="D27" s="20" t="s">
        <v>302</v>
      </c>
      <c r="E27" s="28">
        <v>36515</v>
      </c>
      <c r="F27" s="21">
        <v>42169</v>
      </c>
      <c r="G27" s="11">
        <f t="shared" si="0"/>
        <v>2015</v>
      </c>
      <c r="H27" s="23">
        <v>3</v>
      </c>
      <c r="I27" s="20" t="s">
        <v>26</v>
      </c>
      <c r="J27" s="20" t="s">
        <v>73</v>
      </c>
      <c r="P27"/>
      <c r="Q27"/>
    </row>
    <row r="28" spans="1:45" ht="15.75" customHeight="1" x14ac:dyDescent="0.25">
      <c r="A28" s="20" t="s">
        <v>74</v>
      </c>
      <c r="B28" s="20" t="s">
        <v>36</v>
      </c>
      <c r="C28" s="20" t="s">
        <v>11</v>
      </c>
      <c r="D28" s="20" t="s">
        <v>10</v>
      </c>
      <c r="E28" s="28">
        <v>91005</v>
      </c>
      <c r="F28" s="21">
        <v>42176</v>
      </c>
      <c r="G28" s="11">
        <f t="shared" si="0"/>
        <v>2015</v>
      </c>
      <c r="H28" s="23">
        <v>1</v>
      </c>
      <c r="I28" s="20" t="s">
        <v>18</v>
      </c>
      <c r="J28" s="20" t="s">
        <v>75</v>
      </c>
      <c r="P28"/>
      <c r="Q28"/>
    </row>
    <row r="29" spans="1:45" x14ac:dyDescent="0.25">
      <c r="A29" s="20" t="s">
        <v>76</v>
      </c>
      <c r="B29" s="20" t="s">
        <v>38</v>
      </c>
      <c r="C29" s="20" t="s">
        <v>10</v>
      </c>
      <c r="D29" s="20" t="s">
        <v>10</v>
      </c>
      <c r="E29" s="28">
        <v>52272</v>
      </c>
      <c r="F29" s="21">
        <v>42183</v>
      </c>
      <c r="G29" s="11">
        <f t="shared" si="0"/>
        <v>2015</v>
      </c>
      <c r="H29" s="23">
        <v>3</v>
      </c>
      <c r="I29" s="20" t="s">
        <v>10</v>
      </c>
      <c r="J29" s="20" t="s">
        <v>77</v>
      </c>
      <c r="P29"/>
      <c r="Q29"/>
    </row>
    <row r="30" spans="1:45" x14ac:dyDescent="0.25">
      <c r="A30" s="20" t="s">
        <v>78</v>
      </c>
      <c r="B30" s="20" t="s">
        <v>16</v>
      </c>
      <c r="C30" s="20" t="s">
        <v>25</v>
      </c>
      <c r="D30" s="20" t="s">
        <v>17</v>
      </c>
      <c r="E30" s="28">
        <v>76518</v>
      </c>
      <c r="F30" s="21">
        <v>42190</v>
      </c>
      <c r="G30" s="11">
        <f t="shared" si="0"/>
        <v>2015</v>
      </c>
      <c r="H30" s="23">
        <v>2</v>
      </c>
      <c r="I30" s="20" t="s">
        <v>33</v>
      </c>
      <c r="J30" s="20" t="s">
        <v>79</v>
      </c>
      <c r="P30"/>
      <c r="Q30"/>
    </row>
    <row r="31" spans="1:45" x14ac:dyDescent="0.25">
      <c r="A31" s="20" t="s">
        <v>80</v>
      </c>
      <c r="B31" s="20" t="s">
        <v>21</v>
      </c>
      <c r="C31" s="20" t="s">
        <v>300</v>
      </c>
      <c r="D31" s="20" t="s">
        <v>302</v>
      </c>
      <c r="E31" s="28">
        <v>41448</v>
      </c>
      <c r="F31" s="21">
        <v>42197</v>
      </c>
      <c r="G31" s="11">
        <f t="shared" si="0"/>
        <v>2015</v>
      </c>
      <c r="H31" s="23">
        <v>3</v>
      </c>
      <c r="I31" s="20" t="s">
        <v>18</v>
      </c>
      <c r="J31" s="20" t="s">
        <v>81</v>
      </c>
      <c r="P31"/>
      <c r="Q31"/>
    </row>
    <row r="32" spans="1:45" ht="15" customHeight="1" x14ac:dyDescent="0.25">
      <c r="A32" s="20" t="s">
        <v>82</v>
      </c>
      <c r="B32" s="20" t="s">
        <v>24</v>
      </c>
      <c r="C32" s="20" t="s">
        <v>299</v>
      </c>
      <c r="D32" s="20" t="s">
        <v>302</v>
      </c>
      <c r="E32" s="28">
        <v>49282</v>
      </c>
      <c r="F32" s="21">
        <v>42204</v>
      </c>
      <c r="G32" s="11">
        <f t="shared" si="0"/>
        <v>2015</v>
      </c>
      <c r="H32" s="23">
        <v>2</v>
      </c>
      <c r="I32" s="20" t="s">
        <v>33</v>
      </c>
      <c r="J32" s="20" t="s">
        <v>83</v>
      </c>
      <c r="P32"/>
      <c r="Q32"/>
    </row>
    <row r="33" spans="1:17" x14ac:dyDescent="0.25">
      <c r="A33" s="20" t="s">
        <v>84</v>
      </c>
      <c r="B33" s="20" t="s">
        <v>50</v>
      </c>
      <c r="C33" s="20" t="s">
        <v>39</v>
      </c>
      <c r="D33" s="20" t="s">
        <v>302</v>
      </c>
      <c r="E33" s="28">
        <v>92959</v>
      </c>
      <c r="F33" s="21">
        <v>42211</v>
      </c>
      <c r="G33" s="11">
        <f t="shared" si="0"/>
        <v>2015</v>
      </c>
      <c r="H33" s="23">
        <v>5</v>
      </c>
      <c r="I33" s="20" t="s">
        <v>10</v>
      </c>
      <c r="J33" s="20" t="s">
        <v>85</v>
      </c>
      <c r="P33"/>
      <c r="Q33"/>
    </row>
    <row r="34" spans="1:17" x14ac:dyDescent="0.25">
      <c r="A34" s="20" t="s">
        <v>86</v>
      </c>
      <c r="B34" s="20" t="s">
        <v>10</v>
      </c>
      <c r="C34" s="20" t="s">
        <v>39</v>
      </c>
      <c r="D34" s="20" t="s">
        <v>10</v>
      </c>
      <c r="E34" s="28">
        <v>92259</v>
      </c>
      <c r="F34" s="21"/>
      <c r="G34" s="11">
        <f t="shared" si="0"/>
        <v>1900</v>
      </c>
      <c r="H34" s="23">
        <v>1</v>
      </c>
      <c r="I34" s="20" t="s">
        <v>13</v>
      </c>
      <c r="J34" s="20" t="s">
        <v>87</v>
      </c>
      <c r="P34"/>
      <c r="Q34"/>
    </row>
    <row r="35" spans="1:17" x14ac:dyDescent="0.25">
      <c r="A35" s="20" t="s">
        <v>88</v>
      </c>
      <c r="B35" s="20" t="s">
        <v>16</v>
      </c>
      <c r="C35" s="20" t="s">
        <v>299</v>
      </c>
      <c r="D35" s="20" t="s">
        <v>17</v>
      </c>
      <c r="E35" s="28">
        <v>92299</v>
      </c>
      <c r="F35" s="21">
        <v>42225</v>
      </c>
      <c r="G35" s="11">
        <f t="shared" si="0"/>
        <v>2015</v>
      </c>
      <c r="H35" s="23">
        <v>3</v>
      </c>
      <c r="I35" s="20" t="s">
        <v>26</v>
      </c>
      <c r="J35" s="20" t="s">
        <v>89</v>
      </c>
      <c r="P35"/>
      <c r="Q35"/>
    </row>
    <row r="36" spans="1:17" ht="15" customHeight="1" x14ac:dyDescent="0.25">
      <c r="A36" s="20" t="s">
        <v>90</v>
      </c>
      <c r="B36" s="20" t="s">
        <v>36</v>
      </c>
      <c r="C36" s="20" t="s">
        <v>299</v>
      </c>
      <c r="D36" s="20" t="s">
        <v>10</v>
      </c>
      <c r="E36" s="28">
        <v>95586</v>
      </c>
      <c r="F36" s="21">
        <v>42232</v>
      </c>
      <c r="G36" s="11">
        <f t="shared" si="0"/>
        <v>2015</v>
      </c>
      <c r="H36" s="23">
        <v>3</v>
      </c>
      <c r="I36" s="20" t="s">
        <v>18</v>
      </c>
      <c r="J36" s="20" t="s">
        <v>91</v>
      </c>
      <c r="P36"/>
      <c r="Q36"/>
    </row>
    <row r="37" spans="1:17" ht="15" customHeight="1" x14ac:dyDescent="0.25">
      <c r="A37" s="20" t="s">
        <v>92</v>
      </c>
      <c r="B37" s="20" t="s">
        <v>38</v>
      </c>
      <c r="C37" s="20" t="s">
        <v>10</v>
      </c>
      <c r="D37" s="20" t="s">
        <v>301</v>
      </c>
      <c r="E37" s="28">
        <v>95367</v>
      </c>
      <c r="F37" s="21">
        <v>42239</v>
      </c>
      <c r="G37" s="11">
        <f t="shared" ref="G37:G68" si="1">YEAR(F37)</f>
        <v>2015</v>
      </c>
      <c r="H37" s="22" t="s">
        <v>10</v>
      </c>
      <c r="I37" s="20" t="s">
        <v>26</v>
      </c>
      <c r="J37" s="20" t="s">
        <v>93</v>
      </c>
      <c r="P37"/>
      <c r="Q37"/>
    </row>
    <row r="38" spans="1:17" ht="15" customHeight="1" x14ac:dyDescent="0.25">
      <c r="A38" s="20" t="s">
        <v>94</v>
      </c>
      <c r="B38" s="20" t="s">
        <v>24</v>
      </c>
      <c r="C38" s="20" t="s">
        <v>25</v>
      </c>
      <c r="D38" s="20" t="s">
        <v>60</v>
      </c>
      <c r="E38" s="28">
        <v>79549</v>
      </c>
      <c r="F38" s="21">
        <v>42246</v>
      </c>
      <c r="G38" s="11">
        <f t="shared" si="1"/>
        <v>2015</v>
      </c>
      <c r="H38" s="23">
        <v>3</v>
      </c>
      <c r="I38" s="20" t="s">
        <v>10</v>
      </c>
      <c r="J38" s="20" t="s">
        <v>95</v>
      </c>
      <c r="P38"/>
      <c r="Q38"/>
    </row>
    <row r="39" spans="1:17" ht="15" customHeight="1" x14ac:dyDescent="0.25">
      <c r="A39" s="20" t="s">
        <v>96</v>
      </c>
      <c r="B39" s="20" t="s">
        <v>21</v>
      </c>
      <c r="C39" s="20" t="s">
        <v>10</v>
      </c>
      <c r="D39" s="20" t="s">
        <v>302</v>
      </c>
      <c r="E39" s="28">
        <v>54463</v>
      </c>
      <c r="F39" s="21">
        <v>42253</v>
      </c>
      <c r="G39" s="11">
        <f t="shared" si="1"/>
        <v>2015</v>
      </c>
      <c r="H39" s="23">
        <v>4</v>
      </c>
      <c r="I39" s="20" t="s">
        <v>26</v>
      </c>
      <c r="J39" s="20" t="s">
        <v>14</v>
      </c>
      <c r="P39"/>
      <c r="Q39"/>
    </row>
    <row r="40" spans="1:17" x14ac:dyDescent="0.25">
      <c r="A40" s="20" t="s">
        <v>97</v>
      </c>
      <c r="B40" s="20" t="s">
        <v>21</v>
      </c>
      <c r="C40" s="20" t="s">
        <v>300</v>
      </c>
      <c r="D40" s="20" t="s">
        <v>301</v>
      </c>
      <c r="E40" s="28">
        <v>89781</v>
      </c>
      <c r="F40" s="21">
        <v>42260</v>
      </c>
      <c r="G40" s="11">
        <f t="shared" si="1"/>
        <v>2015</v>
      </c>
      <c r="H40" s="22" t="s">
        <v>10</v>
      </c>
      <c r="I40" s="20" t="s">
        <v>33</v>
      </c>
      <c r="J40" s="20" t="s">
        <v>98</v>
      </c>
      <c r="P40"/>
      <c r="Q40"/>
    </row>
    <row r="41" spans="1:17" ht="15" customHeight="1" x14ac:dyDescent="0.25">
      <c r="A41" s="20" t="s">
        <v>99</v>
      </c>
      <c r="B41" s="20" t="s">
        <v>21</v>
      </c>
      <c r="C41" s="20" t="s">
        <v>299</v>
      </c>
      <c r="D41" s="20" t="s">
        <v>10</v>
      </c>
      <c r="E41" s="28">
        <v>64796</v>
      </c>
      <c r="F41" s="21">
        <v>42267</v>
      </c>
      <c r="G41" s="11">
        <f t="shared" si="1"/>
        <v>2015</v>
      </c>
      <c r="H41" s="22" t="s">
        <v>10</v>
      </c>
      <c r="I41" s="20" t="s">
        <v>18</v>
      </c>
      <c r="J41" s="20" t="s">
        <v>100</v>
      </c>
      <c r="P41"/>
      <c r="Q41"/>
    </row>
    <row r="42" spans="1:17" ht="15" customHeight="1" x14ac:dyDescent="0.25">
      <c r="A42" s="20" t="s">
        <v>101</v>
      </c>
      <c r="B42" s="20" t="s">
        <v>24</v>
      </c>
      <c r="C42" s="20" t="s">
        <v>39</v>
      </c>
      <c r="D42" s="20" t="s">
        <v>302</v>
      </c>
      <c r="E42" s="28">
        <v>52093</v>
      </c>
      <c r="F42" s="21">
        <v>42274</v>
      </c>
      <c r="G42" s="11">
        <f t="shared" si="1"/>
        <v>2015</v>
      </c>
      <c r="H42" s="23">
        <v>5</v>
      </c>
      <c r="I42" s="20" t="s">
        <v>10</v>
      </c>
      <c r="J42" s="20" t="s">
        <v>102</v>
      </c>
      <c r="P42"/>
      <c r="Q42"/>
    </row>
    <row r="43" spans="1:17" ht="15" customHeight="1" x14ac:dyDescent="0.25">
      <c r="A43" s="20" t="s">
        <v>103</v>
      </c>
      <c r="B43" s="20" t="s">
        <v>38</v>
      </c>
      <c r="C43" s="20" t="s">
        <v>299</v>
      </c>
      <c r="D43" s="20" t="s">
        <v>302</v>
      </c>
      <c r="E43" s="28">
        <v>48224</v>
      </c>
      <c r="F43" s="21">
        <v>42281</v>
      </c>
      <c r="G43" s="11">
        <f t="shared" si="1"/>
        <v>2015</v>
      </c>
      <c r="H43" s="23">
        <v>3</v>
      </c>
      <c r="I43" s="20" t="s">
        <v>10</v>
      </c>
      <c r="J43" s="20" t="s">
        <v>104</v>
      </c>
      <c r="P43"/>
      <c r="Q43"/>
    </row>
    <row r="44" spans="1:17" x14ac:dyDescent="0.25">
      <c r="A44" s="20" t="s">
        <v>105</v>
      </c>
      <c r="B44" s="20" t="s">
        <v>50</v>
      </c>
      <c r="C44" s="20" t="s">
        <v>11</v>
      </c>
      <c r="D44" s="20" t="s">
        <v>302</v>
      </c>
      <c r="E44" s="28" t="s">
        <v>12</v>
      </c>
      <c r="F44" s="21"/>
      <c r="G44" s="11">
        <f t="shared" si="1"/>
        <v>1900</v>
      </c>
      <c r="H44" s="23">
        <v>4</v>
      </c>
      <c r="I44" s="20" t="s">
        <v>33</v>
      </c>
      <c r="J44" s="20" t="s">
        <v>106</v>
      </c>
      <c r="P44"/>
      <c r="Q44"/>
    </row>
    <row r="45" spans="1:17" x14ac:dyDescent="0.25">
      <c r="A45" s="20" t="s">
        <v>107</v>
      </c>
      <c r="B45" s="20" t="s">
        <v>21</v>
      </c>
      <c r="C45" s="20" t="s">
        <v>300</v>
      </c>
      <c r="D45" s="20" t="s">
        <v>17</v>
      </c>
      <c r="E45" s="28">
        <v>33956</v>
      </c>
      <c r="F45" s="21">
        <v>42295</v>
      </c>
      <c r="G45" s="11">
        <f t="shared" si="1"/>
        <v>2015</v>
      </c>
      <c r="H45" s="22" t="s">
        <v>10</v>
      </c>
      <c r="I45" s="20" t="s">
        <v>10</v>
      </c>
      <c r="J45" s="20" t="s">
        <v>108</v>
      </c>
      <c r="P45"/>
      <c r="Q45"/>
    </row>
    <row r="46" spans="1:17" x14ac:dyDescent="0.25">
      <c r="A46" s="20" t="s">
        <v>109</v>
      </c>
      <c r="B46" s="20" t="s">
        <v>50</v>
      </c>
      <c r="C46" s="20" t="s">
        <v>10</v>
      </c>
      <c r="D46" s="20" t="s">
        <v>60</v>
      </c>
      <c r="E46" s="28">
        <v>64913</v>
      </c>
      <c r="F46" s="21">
        <v>42302</v>
      </c>
      <c r="G46" s="11">
        <f t="shared" si="1"/>
        <v>2015</v>
      </c>
      <c r="H46" s="23">
        <v>1</v>
      </c>
      <c r="I46" s="20" t="s">
        <v>33</v>
      </c>
      <c r="J46" s="20" t="s">
        <v>110</v>
      </c>
      <c r="P46"/>
      <c r="Q46"/>
    </row>
    <row r="47" spans="1:17" x14ac:dyDescent="0.25">
      <c r="A47" s="20" t="s">
        <v>111</v>
      </c>
      <c r="B47" s="20" t="s">
        <v>21</v>
      </c>
      <c r="C47" s="20" t="s">
        <v>39</v>
      </c>
      <c r="D47" s="20" t="s">
        <v>60</v>
      </c>
      <c r="E47" s="28">
        <v>35326</v>
      </c>
      <c r="F47" s="21">
        <v>42309</v>
      </c>
      <c r="G47" s="11">
        <f t="shared" si="1"/>
        <v>2015</v>
      </c>
      <c r="H47" s="22" t="s">
        <v>10</v>
      </c>
      <c r="I47" s="20" t="s">
        <v>33</v>
      </c>
      <c r="J47" s="20" t="s">
        <v>112</v>
      </c>
      <c r="P47"/>
      <c r="Q47"/>
    </row>
    <row r="48" spans="1:17" ht="15" customHeight="1" x14ac:dyDescent="0.25">
      <c r="A48" s="20" t="s">
        <v>113</v>
      </c>
      <c r="B48" s="20" t="s">
        <v>38</v>
      </c>
      <c r="C48" s="20" t="s">
        <v>11</v>
      </c>
      <c r="D48" s="20" t="s">
        <v>10</v>
      </c>
      <c r="E48" s="28">
        <v>81610</v>
      </c>
      <c r="F48" s="21">
        <v>42316</v>
      </c>
      <c r="G48" s="11">
        <f t="shared" si="1"/>
        <v>2015</v>
      </c>
      <c r="H48" s="23">
        <v>1</v>
      </c>
      <c r="I48" s="20" t="s">
        <v>10</v>
      </c>
      <c r="J48" s="20" t="s">
        <v>114</v>
      </c>
      <c r="P48"/>
      <c r="Q48"/>
    </row>
    <row r="49" spans="1:17" ht="15" customHeight="1" x14ac:dyDescent="0.25">
      <c r="A49" s="20" t="s">
        <v>115</v>
      </c>
      <c r="B49" s="20" t="s">
        <v>10</v>
      </c>
      <c r="C49" s="20" t="s">
        <v>299</v>
      </c>
      <c r="D49" s="20" t="s">
        <v>10</v>
      </c>
      <c r="E49" s="28">
        <v>58962</v>
      </c>
      <c r="F49" s="21">
        <v>42323</v>
      </c>
      <c r="G49" s="11">
        <f t="shared" si="1"/>
        <v>2015</v>
      </c>
      <c r="H49" s="23">
        <v>3</v>
      </c>
      <c r="I49" s="20" t="s">
        <v>18</v>
      </c>
      <c r="J49" s="20" t="s">
        <v>19</v>
      </c>
      <c r="P49"/>
      <c r="Q49"/>
    </row>
    <row r="50" spans="1:17" ht="15" customHeight="1" x14ac:dyDescent="0.25">
      <c r="A50" s="20" t="s">
        <v>116</v>
      </c>
      <c r="B50" s="20" t="s">
        <v>38</v>
      </c>
      <c r="C50" s="20" t="s">
        <v>300</v>
      </c>
      <c r="D50" s="20" t="s">
        <v>17</v>
      </c>
      <c r="E50" s="28">
        <v>92701</v>
      </c>
      <c r="F50" s="21">
        <v>42330</v>
      </c>
      <c r="G50" s="11">
        <f t="shared" si="1"/>
        <v>2015</v>
      </c>
      <c r="H50" s="23">
        <v>3</v>
      </c>
      <c r="I50" s="20" t="s">
        <v>18</v>
      </c>
      <c r="J50" s="20" t="s">
        <v>117</v>
      </c>
      <c r="P50"/>
      <c r="Q50"/>
    </row>
    <row r="51" spans="1:17" ht="15" customHeight="1" x14ac:dyDescent="0.25">
      <c r="A51" s="20" t="s">
        <v>118</v>
      </c>
      <c r="B51" s="20" t="s">
        <v>38</v>
      </c>
      <c r="C51" s="20" t="s">
        <v>299</v>
      </c>
      <c r="D51" s="20" t="s">
        <v>32</v>
      </c>
      <c r="E51" s="28">
        <v>58245</v>
      </c>
      <c r="F51" s="21">
        <v>42337</v>
      </c>
      <c r="G51" s="11">
        <f t="shared" si="1"/>
        <v>2015</v>
      </c>
      <c r="H51" s="23">
        <v>4</v>
      </c>
      <c r="I51" s="20" t="s">
        <v>10</v>
      </c>
      <c r="J51" s="20" t="s">
        <v>119</v>
      </c>
      <c r="P51"/>
      <c r="Q51"/>
    </row>
    <row r="52" spans="1:17" ht="15" customHeight="1" x14ac:dyDescent="0.25">
      <c r="A52" s="20" t="s">
        <v>120</v>
      </c>
      <c r="B52" s="20" t="s">
        <v>24</v>
      </c>
      <c r="C52" s="20" t="s">
        <v>11</v>
      </c>
      <c r="D52" s="20" t="s">
        <v>10</v>
      </c>
      <c r="E52" s="28">
        <v>66513</v>
      </c>
      <c r="F52" s="21">
        <v>42344</v>
      </c>
      <c r="G52" s="11">
        <f t="shared" si="1"/>
        <v>2015</v>
      </c>
      <c r="H52" s="23">
        <v>2</v>
      </c>
      <c r="I52" s="20" t="s">
        <v>18</v>
      </c>
      <c r="J52" s="20" t="s">
        <v>34</v>
      </c>
      <c r="P52"/>
      <c r="Q52"/>
    </row>
    <row r="53" spans="1:17" ht="15" customHeight="1" x14ac:dyDescent="0.25">
      <c r="A53" s="20" t="s">
        <v>121</v>
      </c>
      <c r="B53" s="20" t="s">
        <v>16</v>
      </c>
      <c r="C53" s="20" t="s">
        <v>299</v>
      </c>
      <c r="D53" s="20" t="s">
        <v>17</v>
      </c>
      <c r="E53" s="28">
        <v>78720</v>
      </c>
      <c r="F53" s="21">
        <v>42351</v>
      </c>
      <c r="G53" s="11">
        <f t="shared" si="1"/>
        <v>2015</v>
      </c>
      <c r="H53" s="23">
        <v>5</v>
      </c>
      <c r="I53" s="20" t="s">
        <v>33</v>
      </c>
      <c r="J53" s="20" t="s">
        <v>106</v>
      </c>
      <c r="P53"/>
      <c r="Q53"/>
    </row>
    <row r="54" spans="1:17" ht="15" customHeight="1" x14ac:dyDescent="0.25">
      <c r="A54" s="20" t="s">
        <v>122</v>
      </c>
      <c r="B54" s="20" t="s">
        <v>38</v>
      </c>
      <c r="C54" s="20" t="s">
        <v>10</v>
      </c>
      <c r="D54" s="20" t="s">
        <v>10</v>
      </c>
      <c r="E54" s="28">
        <v>30686</v>
      </c>
      <c r="F54" s="21"/>
      <c r="G54" s="11">
        <f t="shared" si="1"/>
        <v>1900</v>
      </c>
      <c r="H54" s="23">
        <v>2</v>
      </c>
      <c r="I54" s="20" t="s">
        <v>33</v>
      </c>
      <c r="J54" s="20" t="s">
        <v>123</v>
      </c>
      <c r="P54"/>
      <c r="Q54"/>
    </row>
    <row r="55" spans="1:17" x14ac:dyDescent="0.25">
      <c r="A55" s="20" t="s">
        <v>124</v>
      </c>
      <c r="B55" s="20" t="s">
        <v>36</v>
      </c>
      <c r="C55" s="20" t="s">
        <v>25</v>
      </c>
      <c r="D55" s="20" t="s">
        <v>32</v>
      </c>
      <c r="E55" s="28">
        <v>39423</v>
      </c>
      <c r="F55" s="21">
        <v>42365</v>
      </c>
      <c r="G55" s="11">
        <f t="shared" si="1"/>
        <v>2015</v>
      </c>
      <c r="H55" s="23">
        <v>5</v>
      </c>
      <c r="I55" s="20" t="s">
        <v>10</v>
      </c>
      <c r="J55" s="20" t="s">
        <v>125</v>
      </c>
      <c r="P55"/>
      <c r="Q55"/>
    </row>
    <row r="56" spans="1:17" ht="15" customHeight="1" x14ac:dyDescent="0.25">
      <c r="A56" s="20" t="s">
        <v>126</v>
      </c>
      <c r="B56" s="20" t="s">
        <v>16</v>
      </c>
      <c r="C56" s="20" t="s">
        <v>39</v>
      </c>
      <c r="D56" s="20" t="s">
        <v>10</v>
      </c>
      <c r="E56" s="28">
        <v>30280</v>
      </c>
      <c r="F56" s="21">
        <v>42372</v>
      </c>
      <c r="G56" s="11">
        <f t="shared" si="1"/>
        <v>2016</v>
      </c>
      <c r="H56" s="23">
        <v>1</v>
      </c>
      <c r="I56" s="20" t="s">
        <v>10</v>
      </c>
      <c r="J56" s="20" t="s">
        <v>127</v>
      </c>
      <c r="P56"/>
      <c r="Q56"/>
    </row>
    <row r="57" spans="1:17" x14ac:dyDescent="0.25">
      <c r="A57" s="20" t="s">
        <v>128</v>
      </c>
      <c r="B57" s="20" t="s">
        <v>16</v>
      </c>
      <c r="C57" s="20" t="s">
        <v>11</v>
      </c>
      <c r="D57" s="20" t="s">
        <v>302</v>
      </c>
      <c r="E57" s="28">
        <v>33352</v>
      </c>
      <c r="F57" s="21">
        <v>42379</v>
      </c>
      <c r="G57" s="11">
        <f t="shared" si="1"/>
        <v>2016</v>
      </c>
      <c r="H57" s="23">
        <v>3</v>
      </c>
      <c r="I57" s="20" t="s">
        <v>33</v>
      </c>
      <c r="J57" s="20" t="s">
        <v>67</v>
      </c>
      <c r="P57"/>
      <c r="Q57"/>
    </row>
    <row r="58" spans="1:17" x14ac:dyDescent="0.25">
      <c r="A58" s="20" t="s">
        <v>129</v>
      </c>
      <c r="B58" s="20" t="s">
        <v>50</v>
      </c>
      <c r="C58" s="20" t="s">
        <v>39</v>
      </c>
      <c r="D58" s="20" t="s">
        <v>302</v>
      </c>
      <c r="E58" s="28">
        <v>75633</v>
      </c>
      <c r="F58" s="21">
        <v>42386</v>
      </c>
      <c r="G58" s="11">
        <f t="shared" si="1"/>
        <v>2016</v>
      </c>
      <c r="H58" s="23">
        <v>5</v>
      </c>
      <c r="I58" s="20" t="s">
        <v>18</v>
      </c>
      <c r="J58" s="20" t="s">
        <v>130</v>
      </c>
      <c r="P58"/>
      <c r="Q58"/>
    </row>
    <row r="59" spans="1:17" ht="15" customHeight="1" x14ac:dyDescent="0.25">
      <c r="A59" s="20" t="s">
        <v>131</v>
      </c>
      <c r="B59" s="20" t="s">
        <v>38</v>
      </c>
      <c r="C59" s="20" t="s">
        <v>10</v>
      </c>
      <c r="D59" s="20" t="s">
        <v>301</v>
      </c>
      <c r="E59" s="28">
        <v>74815</v>
      </c>
      <c r="F59" s="21">
        <v>42393</v>
      </c>
      <c r="G59" s="11">
        <f t="shared" si="1"/>
        <v>2016</v>
      </c>
      <c r="H59" s="23">
        <v>5</v>
      </c>
      <c r="I59" s="20" t="s">
        <v>33</v>
      </c>
      <c r="J59" s="20" t="s">
        <v>132</v>
      </c>
      <c r="P59"/>
      <c r="Q59"/>
    </row>
    <row r="60" spans="1:17" x14ac:dyDescent="0.25">
      <c r="A60" s="20" t="s">
        <v>133</v>
      </c>
      <c r="B60" s="20" t="s">
        <v>24</v>
      </c>
      <c r="C60" s="20" t="s">
        <v>25</v>
      </c>
      <c r="D60" s="20" t="s">
        <v>60</v>
      </c>
      <c r="E60" s="28">
        <v>60011</v>
      </c>
      <c r="F60" s="21">
        <v>42400</v>
      </c>
      <c r="G60" s="11">
        <f t="shared" si="1"/>
        <v>2016</v>
      </c>
      <c r="H60" s="23">
        <v>1</v>
      </c>
      <c r="I60" s="20" t="s">
        <v>26</v>
      </c>
      <c r="J60" s="20" t="s">
        <v>134</v>
      </c>
      <c r="P60"/>
      <c r="Q60"/>
    </row>
    <row r="61" spans="1:17" x14ac:dyDescent="0.25">
      <c r="A61" s="20" t="s">
        <v>135</v>
      </c>
      <c r="B61" s="20" t="s">
        <v>16</v>
      </c>
      <c r="C61" s="20" t="s">
        <v>10</v>
      </c>
      <c r="D61" s="20" t="s">
        <v>32</v>
      </c>
      <c r="E61" s="28">
        <v>96949</v>
      </c>
      <c r="F61" s="21">
        <v>42407</v>
      </c>
      <c r="G61" s="11">
        <f t="shared" si="1"/>
        <v>2016</v>
      </c>
      <c r="H61" s="23">
        <v>3</v>
      </c>
      <c r="I61" s="20" t="s">
        <v>10</v>
      </c>
      <c r="J61" s="20" t="s">
        <v>81</v>
      </c>
      <c r="P61"/>
      <c r="Q61"/>
    </row>
    <row r="62" spans="1:17" ht="15" customHeight="1" x14ac:dyDescent="0.25">
      <c r="A62" s="20" t="s">
        <v>136</v>
      </c>
      <c r="B62" s="20" t="s">
        <v>36</v>
      </c>
      <c r="C62" s="20" t="s">
        <v>39</v>
      </c>
      <c r="D62" s="20" t="s">
        <v>10</v>
      </c>
      <c r="E62" s="28">
        <v>84924</v>
      </c>
      <c r="F62" s="21">
        <v>42414</v>
      </c>
      <c r="G62" s="11">
        <f t="shared" si="1"/>
        <v>2016</v>
      </c>
      <c r="H62" s="23">
        <v>5</v>
      </c>
      <c r="I62" s="20" t="s">
        <v>26</v>
      </c>
      <c r="J62" s="20" t="s">
        <v>137</v>
      </c>
      <c r="P62"/>
      <c r="Q62"/>
    </row>
    <row r="63" spans="1:17" x14ac:dyDescent="0.25">
      <c r="A63" s="20" t="s">
        <v>138</v>
      </c>
      <c r="B63" s="20" t="s">
        <v>36</v>
      </c>
      <c r="C63" s="20" t="s">
        <v>11</v>
      </c>
      <c r="D63" s="20" t="s">
        <v>301</v>
      </c>
      <c r="E63" s="28">
        <v>82033</v>
      </c>
      <c r="F63" s="21">
        <v>42421</v>
      </c>
      <c r="G63" s="11">
        <f t="shared" si="1"/>
        <v>2016</v>
      </c>
      <c r="H63" s="23">
        <v>1</v>
      </c>
      <c r="I63" s="20" t="s">
        <v>10</v>
      </c>
      <c r="J63" s="20" t="s">
        <v>114</v>
      </c>
      <c r="P63"/>
      <c r="Q63"/>
    </row>
    <row r="64" spans="1:17" ht="15" customHeight="1" x14ac:dyDescent="0.25">
      <c r="A64" s="20" t="s">
        <v>139</v>
      </c>
      <c r="B64" s="20" t="s">
        <v>10</v>
      </c>
      <c r="C64" s="20" t="s">
        <v>39</v>
      </c>
      <c r="D64" s="20" t="s">
        <v>17</v>
      </c>
      <c r="E64" s="28" t="s">
        <v>12</v>
      </c>
      <c r="F64" s="21"/>
      <c r="G64" s="11">
        <f t="shared" si="1"/>
        <v>1900</v>
      </c>
      <c r="H64" s="23">
        <v>5</v>
      </c>
      <c r="I64" s="20" t="s">
        <v>13</v>
      </c>
      <c r="J64" s="20" t="s">
        <v>140</v>
      </c>
      <c r="P64"/>
      <c r="Q64"/>
    </row>
    <row r="65" spans="1:17" x14ac:dyDescent="0.25">
      <c r="A65" s="20" t="s">
        <v>141</v>
      </c>
      <c r="B65" s="20" t="s">
        <v>16</v>
      </c>
      <c r="C65" s="20" t="s">
        <v>10</v>
      </c>
      <c r="D65" s="20" t="s">
        <v>60</v>
      </c>
      <c r="E65" s="28">
        <v>31499</v>
      </c>
      <c r="F65" s="21">
        <v>42435</v>
      </c>
      <c r="G65" s="11">
        <f t="shared" si="1"/>
        <v>2016</v>
      </c>
      <c r="H65" s="23">
        <v>2</v>
      </c>
      <c r="I65" s="20" t="s">
        <v>10</v>
      </c>
      <c r="J65" s="20" t="s">
        <v>98</v>
      </c>
      <c r="P65"/>
      <c r="Q65"/>
    </row>
    <row r="66" spans="1:17" x14ac:dyDescent="0.25">
      <c r="A66" s="20" t="s">
        <v>142</v>
      </c>
      <c r="B66" s="20" t="s">
        <v>38</v>
      </c>
      <c r="C66" s="20" t="s">
        <v>300</v>
      </c>
      <c r="D66" s="20" t="s">
        <v>302</v>
      </c>
      <c r="E66" s="28">
        <v>97981</v>
      </c>
      <c r="F66" s="21">
        <v>42442</v>
      </c>
      <c r="G66" s="11">
        <f t="shared" si="1"/>
        <v>2016</v>
      </c>
      <c r="H66" s="23">
        <v>5</v>
      </c>
      <c r="I66" s="20" t="s">
        <v>33</v>
      </c>
      <c r="J66" s="20" t="s">
        <v>143</v>
      </c>
      <c r="P66"/>
      <c r="Q66"/>
    </row>
    <row r="67" spans="1:17" x14ac:dyDescent="0.25">
      <c r="A67" s="20" t="s">
        <v>144</v>
      </c>
      <c r="B67" s="20" t="s">
        <v>16</v>
      </c>
      <c r="C67" s="20" t="s">
        <v>299</v>
      </c>
      <c r="D67" s="20" t="s">
        <v>301</v>
      </c>
      <c r="E67" s="28">
        <v>36541</v>
      </c>
      <c r="F67" s="21">
        <v>42449</v>
      </c>
      <c r="G67" s="11">
        <f t="shared" si="1"/>
        <v>2016</v>
      </c>
      <c r="H67" s="23">
        <v>2</v>
      </c>
      <c r="I67" s="20" t="s">
        <v>18</v>
      </c>
      <c r="J67" s="20" t="s">
        <v>145</v>
      </c>
      <c r="P67"/>
      <c r="Q67"/>
    </row>
    <row r="68" spans="1:17" x14ac:dyDescent="0.25">
      <c r="A68" s="20" t="s">
        <v>146</v>
      </c>
      <c r="B68" s="20" t="s">
        <v>24</v>
      </c>
      <c r="C68" s="20" t="s">
        <v>300</v>
      </c>
      <c r="D68" s="20" t="s">
        <v>32</v>
      </c>
      <c r="E68" s="28">
        <v>84737</v>
      </c>
      <c r="F68" s="21">
        <v>42456</v>
      </c>
      <c r="G68" s="11">
        <f t="shared" si="1"/>
        <v>2016</v>
      </c>
      <c r="H68" s="23">
        <v>1</v>
      </c>
      <c r="I68" s="20" t="s">
        <v>26</v>
      </c>
      <c r="J68" s="20" t="s">
        <v>147</v>
      </c>
      <c r="P68"/>
      <c r="Q68"/>
    </row>
    <row r="69" spans="1:17" x14ac:dyDescent="0.25">
      <c r="A69" s="20" t="s">
        <v>148</v>
      </c>
      <c r="B69" s="20" t="s">
        <v>36</v>
      </c>
      <c r="C69" s="20" t="s">
        <v>11</v>
      </c>
      <c r="D69" s="20" t="s">
        <v>32</v>
      </c>
      <c r="E69" s="28">
        <v>33468</v>
      </c>
      <c r="F69" s="21">
        <v>42463</v>
      </c>
      <c r="G69" s="11">
        <f t="shared" ref="G69:G100" si="2">YEAR(F69)</f>
        <v>2016</v>
      </c>
      <c r="H69" s="23">
        <v>4</v>
      </c>
      <c r="I69" s="20" t="s">
        <v>26</v>
      </c>
      <c r="J69" s="20" t="s">
        <v>149</v>
      </c>
      <c r="P69"/>
      <c r="Q69"/>
    </row>
    <row r="70" spans="1:17" x14ac:dyDescent="0.25">
      <c r="A70" s="20" t="s">
        <v>150</v>
      </c>
      <c r="B70" s="20" t="s">
        <v>36</v>
      </c>
      <c r="C70" s="20" t="s">
        <v>10</v>
      </c>
      <c r="D70" s="20" t="s">
        <v>60</v>
      </c>
      <c r="E70" s="28">
        <v>96365</v>
      </c>
      <c r="F70" s="21">
        <v>42470</v>
      </c>
      <c r="G70" s="11">
        <f t="shared" si="2"/>
        <v>2016</v>
      </c>
      <c r="H70" s="23">
        <v>3</v>
      </c>
      <c r="I70" s="20" t="s">
        <v>18</v>
      </c>
      <c r="J70" s="20" t="s">
        <v>151</v>
      </c>
      <c r="P70"/>
      <c r="Q70"/>
    </row>
    <row r="71" spans="1:17" x14ac:dyDescent="0.25">
      <c r="A71" s="20" t="s">
        <v>152</v>
      </c>
      <c r="B71" s="20" t="s">
        <v>21</v>
      </c>
      <c r="C71" s="20" t="s">
        <v>25</v>
      </c>
      <c r="D71" s="20" t="s">
        <v>32</v>
      </c>
      <c r="E71" s="28">
        <v>61942</v>
      </c>
      <c r="F71" s="21">
        <v>42477</v>
      </c>
      <c r="G71" s="11">
        <f t="shared" si="2"/>
        <v>2016</v>
      </c>
      <c r="H71" s="23">
        <v>3</v>
      </c>
      <c r="I71" s="20" t="s">
        <v>33</v>
      </c>
      <c r="J71" s="20" t="s">
        <v>153</v>
      </c>
      <c r="P71"/>
      <c r="Q71"/>
    </row>
    <row r="72" spans="1:17" x14ac:dyDescent="0.25">
      <c r="A72" s="20" t="s">
        <v>154</v>
      </c>
      <c r="B72" s="20" t="s">
        <v>36</v>
      </c>
      <c r="C72" s="20" t="s">
        <v>11</v>
      </c>
      <c r="D72" s="20" t="s">
        <v>302</v>
      </c>
      <c r="E72" s="28">
        <v>41467</v>
      </c>
      <c r="F72" s="21">
        <v>42484</v>
      </c>
      <c r="G72" s="11">
        <f t="shared" si="2"/>
        <v>2016</v>
      </c>
      <c r="H72" s="23">
        <v>2</v>
      </c>
      <c r="I72" s="20" t="s">
        <v>10</v>
      </c>
      <c r="J72" s="20" t="s">
        <v>69</v>
      </c>
      <c r="P72"/>
      <c r="Q72"/>
    </row>
    <row r="73" spans="1:17" x14ac:dyDescent="0.25">
      <c r="A73" s="20" t="s">
        <v>155</v>
      </c>
      <c r="B73" s="20" t="s">
        <v>50</v>
      </c>
      <c r="C73" s="20" t="s">
        <v>11</v>
      </c>
      <c r="D73" s="20" t="s">
        <v>32</v>
      </c>
      <c r="E73" s="28">
        <v>77096</v>
      </c>
      <c r="F73" s="21">
        <v>42491</v>
      </c>
      <c r="G73" s="11">
        <f t="shared" si="2"/>
        <v>2016</v>
      </c>
      <c r="H73" s="23">
        <v>1</v>
      </c>
      <c r="I73" s="20" t="s">
        <v>10</v>
      </c>
      <c r="J73" s="20" t="s">
        <v>156</v>
      </c>
      <c r="P73"/>
      <c r="Q73"/>
    </row>
    <row r="74" spans="1:17" ht="15" customHeight="1" x14ac:dyDescent="0.25">
      <c r="A74" s="20" t="s">
        <v>157</v>
      </c>
      <c r="B74" s="20" t="s">
        <v>16</v>
      </c>
      <c r="C74" s="20" t="s">
        <v>25</v>
      </c>
      <c r="D74" s="20" t="s">
        <v>60</v>
      </c>
      <c r="E74" s="28">
        <v>69952</v>
      </c>
      <c r="F74" s="21">
        <v>42498</v>
      </c>
      <c r="G74" s="11">
        <f t="shared" si="2"/>
        <v>2016</v>
      </c>
      <c r="H74" s="23">
        <v>5</v>
      </c>
      <c r="I74" s="20" t="s">
        <v>33</v>
      </c>
      <c r="J74" s="20" t="s">
        <v>14</v>
      </c>
      <c r="P74"/>
      <c r="Q74"/>
    </row>
    <row r="75" spans="1:17" x14ac:dyDescent="0.25">
      <c r="A75" s="20" t="s">
        <v>158</v>
      </c>
      <c r="B75" s="20" t="s">
        <v>16</v>
      </c>
      <c r="C75" s="20" t="s">
        <v>39</v>
      </c>
      <c r="D75" s="20" t="s">
        <v>301</v>
      </c>
      <c r="E75" s="28">
        <v>85065</v>
      </c>
      <c r="F75" s="21">
        <v>42505</v>
      </c>
      <c r="G75" s="11">
        <f t="shared" si="2"/>
        <v>2016</v>
      </c>
      <c r="H75" s="23">
        <v>3</v>
      </c>
      <c r="I75" s="20" t="s">
        <v>10</v>
      </c>
      <c r="J75" s="20" t="s">
        <v>159</v>
      </c>
      <c r="P75"/>
      <c r="Q75"/>
    </row>
    <row r="76" spans="1:17" ht="15" customHeight="1" x14ac:dyDescent="0.25">
      <c r="A76" s="20" t="s">
        <v>160</v>
      </c>
      <c r="B76" s="20" t="s">
        <v>50</v>
      </c>
      <c r="C76" s="20" t="s">
        <v>39</v>
      </c>
      <c r="D76" s="20" t="s">
        <v>32</v>
      </c>
      <c r="E76" s="28">
        <v>56512</v>
      </c>
      <c r="F76" s="21">
        <v>42512</v>
      </c>
      <c r="G76" s="11">
        <f t="shared" si="2"/>
        <v>2016</v>
      </c>
      <c r="H76" s="22" t="s">
        <v>10</v>
      </c>
      <c r="I76" s="20" t="s">
        <v>18</v>
      </c>
      <c r="J76" s="20" t="s">
        <v>44</v>
      </c>
      <c r="P76"/>
      <c r="Q76"/>
    </row>
    <row r="77" spans="1:17" x14ac:dyDescent="0.25">
      <c r="A77" s="20" t="s">
        <v>161</v>
      </c>
      <c r="B77" s="20" t="s">
        <v>24</v>
      </c>
      <c r="C77" s="20" t="s">
        <v>25</v>
      </c>
      <c r="D77" s="20" t="s">
        <v>32</v>
      </c>
      <c r="E77" s="28">
        <v>91101</v>
      </c>
      <c r="F77" s="21">
        <v>42519</v>
      </c>
      <c r="G77" s="11">
        <f t="shared" si="2"/>
        <v>2016</v>
      </c>
      <c r="H77" s="23">
        <v>4</v>
      </c>
      <c r="I77" s="20" t="s">
        <v>33</v>
      </c>
      <c r="J77" s="20" t="s">
        <v>143</v>
      </c>
      <c r="P77"/>
      <c r="Q77"/>
    </row>
    <row r="78" spans="1:17" x14ac:dyDescent="0.25">
      <c r="A78" s="20" t="s">
        <v>162</v>
      </c>
      <c r="B78" s="20" t="s">
        <v>36</v>
      </c>
      <c r="C78" s="20" t="s">
        <v>10</v>
      </c>
      <c r="D78" s="20" t="s">
        <v>17</v>
      </c>
      <c r="E78" s="28">
        <v>41243</v>
      </c>
      <c r="F78" s="21">
        <v>42526</v>
      </c>
      <c r="G78" s="11">
        <f t="shared" si="2"/>
        <v>2016</v>
      </c>
      <c r="H78" s="22" t="s">
        <v>10</v>
      </c>
      <c r="I78" s="20" t="s">
        <v>10</v>
      </c>
      <c r="J78" s="20" t="s">
        <v>89</v>
      </c>
      <c r="P78"/>
      <c r="Q78"/>
    </row>
    <row r="79" spans="1:17" x14ac:dyDescent="0.25">
      <c r="A79" s="20" t="s">
        <v>163</v>
      </c>
      <c r="B79" s="20" t="s">
        <v>10</v>
      </c>
      <c r="C79" s="20" t="s">
        <v>25</v>
      </c>
      <c r="D79" s="20" t="s">
        <v>10</v>
      </c>
      <c r="E79" s="28">
        <v>96142</v>
      </c>
      <c r="F79" s="21">
        <v>42533</v>
      </c>
      <c r="G79" s="11">
        <f t="shared" si="2"/>
        <v>2016</v>
      </c>
      <c r="H79" s="23">
        <v>1</v>
      </c>
      <c r="I79" s="20" t="s">
        <v>18</v>
      </c>
      <c r="J79" s="20" t="s">
        <v>164</v>
      </c>
      <c r="P79"/>
      <c r="Q79"/>
    </row>
    <row r="80" spans="1:17" x14ac:dyDescent="0.25">
      <c r="A80" s="20" t="s">
        <v>165</v>
      </c>
      <c r="B80" s="20" t="s">
        <v>16</v>
      </c>
      <c r="C80" s="20" t="s">
        <v>300</v>
      </c>
      <c r="D80" s="20" t="s">
        <v>32</v>
      </c>
      <c r="E80" s="28">
        <v>94301</v>
      </c>
      <c r="F80" s="21">
        <v>42540</v>
      </c>
      <c r="G80" s="11">
        <f t="shared" si="2"/>
        <v>2016</v>
      </c>
      <c r="H80" s="23">
        <v>1</v>
      </c>
      <c r="I80" s="20" t="s">
        <v>26</v>
      </c>
      <c r="J80" s="20" t="s">
        <v>114</v>
      </c>
      <c r="P80"/>
      <c r="Q80"/>
    </row>
    <row r="81" spans="1:17" x14ac:dyDescent="0.25">
      <c r="A81" s="20" t="s">
        <v>166</v>
      </c>
      <c r="B81" s="20" t="s">
        <v>29</v>
      </c>
      <c r="C81" s="20" t="s">
        <v>10</v>
      </c>
      <c r="D81" s="20" t="s">
        <v>302</v>
      </c>
      <c r="E81" s="28">
        <v>69166</v>
      </c>
      <c r="F81" s="21">
        <v>42547</v>
      </c>
      <c r="G81" s="11">
        <f t="shared" si="2"/>
        <v>2016</v>
      </c>
      <c r="H81" s="23">
        <v>1</v>
      </c>
      <c r="I81" s="20" t="s">
        <v>33</v>
      </c>
      <c r="J81" s="20" t="s">
        <v>167</v>
      </c>
      <c r="P81"/>
      <c r="Q81"/>
    </row>
    <row r="82" spans="1:17" x14ac:dyDescent="0.25">
      <c r="A82" s="20" t="s">
        <v>168</v>
      </c>
      <c r="B82" s="20" t="s">
        <v>36</v>
      </c>
      <c r="C82" s="20" t="s">
        <v>10</v>
      </c>
      <c r="D82" s="20" t="s">
        <v>302</v>
      </c>
      <c r="E82" s="28">
        <v>78245</v>
      </c>
      <c r="F82" s="21">
        <v>42554</v>
      </c>
      <c r="G82" s="11">
        <f t="shared" si="2"/>
        <v>2016</v>
      </c>
      <c r="H82" s="23">
        <v>2</v>
      </c>
      <c r="I82" s="20" t="s">
        <v>10</v>
      </c>
      <c r="J82" s="20" t="s">
        <v>169</v>
      </c>
      <c r="P82"/>
      <c r="Q82"/>
    </row>
    <row r="83" spans="1:17" ht="15" customHeight="1" x14ac:dyDescent="0.25">
      <c r="A83" s="20" t="s">
        <v>170</v>
      </c>
      <c r="B83" s="20" t="s">
        <v>38</v>
      </c>
      <c r="C83" s="20" t="s">
        <v>25</v>
      </c>
      <c r="D83" s="20" t="s">
        <v>301</v>
      </c>
      <c r="E83" s="28">
        <v>66079</v>
      </c>
      <c r="F83" s="21">
        <v>42561</v>
      </c>
      <c r="G83" s="11">
        <f t="shared" si="2"/>
        <v>2016</v>
      </c>
      <c r="H83" s="23">
        <v>2</v>
      </c>
      <c r="I83" s="20" t="s">
        <v>18</v>
      </c>
      <c r="J83" s="20" t="s">
        <v>171</v>
      </c>
      <c r="P83"/>
      <c r="Q83"/>
    </row>
    <row r="84" spans="1:17" ht="15" customHeight="1" x14ac:dyDescent="0.25">
      <c r="A84" s="20" t="s">
        <v>172</v>
      </c>
      <c r="B84" s="20" t="s">
        <v>16</v>
      </c>
      <c r="C84" s="20" t="s">
        <v>39</v>
      </c>
      <c r="D84" s="20" t="s">
        <v>32</v>
      </c>
      <c r="E84" s="28" t="s">
        <v>12</v>
      </c>
      <c r="F84" s="21"/>
      <c r="G84" s="11">
        <f t="shared" si="2"/>
        <v>1900</v>
      </c>
      <c r="H84" s="22" t="s">
        <v>10</v>
      </c>
      <c r="I84" s="20" t="s">
        <v>10</v>
      </c>
      <c r="J84" s="20" t="s">
        <v>83</v>
      </c>
      <c r="P84"/>
      <c r="Q84"/>
    </row>
    <row r="85" spans="1:17" x14ac:dyDescent="0.25">
      <c r="A85" s="20" t="s">
        <v>173</v>
      </c>
      <c r="B85" s="20" t="s">
        <v>29</v>
      </c>
      <c r="C85" s="20" t="s">
        <v>25</v>
      </c>
      <c r="D85" s="20" t="s">
        <v>301</v>
      </c>
      <c r="E85" s="28">
        <v>95621</v>
      </c>
      <c r="F85" s="21">
        <v>42575</v>
      </c>
      <c r="G85" s="11">
        <f t="shared" si="2"/>
        <v>2016</v>
      </c>
      <c r="H85" s="23">
        <v>3</v>
      </c>
      <c r="I85" s="20" t="s">
        <v>33</v>
      </c>
      <c r="J85" s="20" t="s">
        <v>174</v>
      </c>
      <c r="P85"/>
      <c r="Q85"/>
    </row>
    <row r="86" spans="1:17" x14ac:dyDescent="0.25">
      <c r="A86" s="20" t="s">
        <v>175</v>
      </c>
      <c r="B86" s="20" t="s">
        <v>16</v>
      </c>
      <c r="C86" s="20" t="s">
        <v>300</v>
      </c>
      <c r="D86" s="20" t="s">
        <v>302</v>
      </c>
      <c r="E86" s="28">
        <v>42262</v>
      </c>
      <c r="F86" s="21">
        <v>42582</v>
      </c>
      <c r="G86" s="11">
        <f t="shared" si="2"/>
        <v>2016</v>
      </c>
      <c r="H86" s="23">
        <v>1</v>
      </c>
      <c r="I86" s="20" t="s">
        <v>10</v>
      </c>
      <c r="J86" s="20" t="s">
        <v>176</v>
      </c>
      <c r="P86"/>
      <c r="Q86"/>
    </row>
    <row r="87" spans="1:17" x14ac:dyDescent="0.25">
      <c r="A87" s="20" t="s">
        <v>177</v>
      </c>
      <c r="B87" s="20" t="s">
        <v>36</v>
      </c>
      <c r="C87" s="20" t="s">
        <v>25</v>
      </c>
      <c r="D87" s="20" t="s">
        <v>32</v>
      </c>
      <c r="E87" s="28">
        <v>99621</v>
      </c>
      <c r="F87" s="21">
        <v>42589</v>
      </c>
      <c r="G87" s="11">
        <f t="shared" si="2"/>
        <v>2016</v>
      </c>
      <c r="H87" s="22" t="s">
        <v>10</v>
      </c>
      <c r="I87" s="20" t="s">
        <v>18</v>
      </c>
      <c r="J87" s="20" t="s">
        <v>178</v>
      </c>
      <c r="P87"/>
      <c r="Q87"/>
    </row>
    <row r="88" spans="1:17" x14ac:dyDescent="0.25">
      <c r="A88" s="20" t="s">
        <v>179</v>
      </c>
      <c r="B88" s="20" t="s">
        <v>24</v>
      </c>
      <c r="C88" s="20" t="s">
        <v>39</v>
      </c>
      <c r="D88" s="20" t="s">
        <v>32</v>
      </c>
      <c r="E88" s="28">
        <v>44682</v>
      </c>
      <c r="F88" s="21">
        <v>42596</v>
      </c>
      <c r="G88" s="11">
        <f t="shared" si="2"/>
        <v>2016</v>
      </c>
      <c r="H88" s="23">
        <v>4</v>
      </c>
      <c r="I88" s="20" t="s">
        <v>33</v>
      </c>
      <c r="J88" s="20" t="s">
        <v>108</v>
      </c>
      <c r="P88"/>
      <c r="Q88"/>
    </row>
    <row r="89" spans="1:17" x14ac:dyDescent="0.25">
      <c r="A89" s="20" t="s">
        <v>180</v>
      </c>
      <c r="B89" s="20" t="s">
        <v>38</v>
      </c>
      <c r="C89" s="20" t="s">
        <v>11</v>
      </c>
      <c r="D89" s="20" t="s">
        <v>10</v>
      </c>
      <c r="E89" s="28">
        <v>35163</v>
      </c>
      <c r="F89" s="21">
        <v>42603</v>
      </c>
      <c r="G89" s="11">
        <f t="shared" si="2"/>
        <v>2016</v>
      </c>
      <c r="H89" s="23">
        <v>5</v>
      </c>
      <c r="I89" s="20" t="s">
        <v>18</v>
      </c>
      <c r="J89" s="20" t="s">
        <v>181</v>
      </c>
      <c r="P89"/>
      <c r="Q89"/>
    </row>
    <row r="90" spans="1:17" x14ac:dyDescent="0.25">
      <c r="A90" s="20" t="s">
        <v>182</v>
      </c>
      <c r="B90" s="20" t="s">
        <v>38</v>
      </c>
      <c r="C90" s="20" t="s">
        <v>300</v>
      </c>
      <c r="D90" s="20" t="s">
        <v>32</v>
      </c>
      <c r="E90" s="28">
        <v>33483</v>
      </c>
      <c r="F90" s="21">
        <v>42610</v>
      </c>
      <c r="G90" s="11">
        <f t="shared" si="2"/>
        <v>2016</v>
      </c>
      <c r="H90" s="23">
        <v>4</v>
      </c>
      <c r="I90" s="20" t="s">
        <v>26</v>
      </c>
      <c r="J90" s="20" t="s">
        <v>183</v>
      </c>
      <c r="P90"/>
      <c r="Q90"/>
    </row>
    <row r="91" spans="1:17" x14ac:dyDescent="0.25">
      <c r="A91" s="20" t="s">
        <v>184</v>
      </c>
      <c r="B91" s="20" t="s">
        <v>36</v>
      </c>
      <c r="C91" s="20" t="s">
        <v>299</v>
      </c>
      <c r="D91" s="20" t="s">
        <v>17</v>
      </c>
      <c r="E91" s="28">
        <v>55303</v>
      </c>
      <c r="F91" s="21">
        <v>42617</v>
      </c>
      <c r="G91" s="11">
        <f t="shared" si="2"/>
        <v>2016</v>
      </c>
      <c r="H91" s="23">
        <v>4</v>
      </c>
      <c r="I91" s="20" t="s">
        <v>26</v>
      </c>
      <c r="J91" s="20" t="s">
        <v>73</v>
      </c>
      <c r="P91"/>
      <c r="Q91"/>
    </row>
    <row r="92" spans="1:17" x14ac:dyDescent="0.25">
      <c r="A92" s="20" t="s">
        <v>185</v>
      </c>
      <c r="B92" s="20" t="s">
        <v>38</v>
      </c>
      <c r="C92" s="20" t="s">
        <v>300</v>
      </c>
      <c r="D92" s="20" t="s">
        <v>10</v>
      </c>
      <c r="E92" s="28">
        <v>63434</v>
      </c>
      <c r="F92" s="21">
        <v>42624</v>
      </c>
      <c r="G92" s="11">
        <f t="shared" si="2"/>
        <v>2016</v>
      </c>
      <c r="H92" s="23">
        <v>3</v>
      </c>
      <c r="I92" s="20" t="s">
        <v>10</v>
      </c>
      <c r="J92" s="20" t="s">
        <v>186</v>
      </c>
      <c r="P92"/>
      <c r="Q92"/>
    </row>
    <row r="93" spans="1:17" x14ac:dyDescent="0.25">
      <c r="A93" s="20" t="s">
        <v>187</v>
      </c>
      <c r="B93" s="20" t="s">
        <v>29</v>
      </c>
      <c r="C93" s="20" t="s">
        <v>10</v>
      </c>
      <c r="D93" s="20" t="s">
        <v>60</v>
      </c>
      <c r="E93" s="28">
        <v>38830</v>
      </c>
      <c r="F93" s="21">
        <v>42631</v>
      </c>
      <c r="G93" s="11">
        <f t="shared" si="2"/>
        <v>2016</v>
      </c>
      <c r="H93" s="23">
        <v>3</v>
      </c>
      <c r="I93" s="20" t="s">
        <v>18</v>
      </c>
      <c r="J93" s="20" t="s">
        <v>73</v>
      </c>
      <c r="P93"/>
      <c r="Q93"/>
    </row>
    <row r="94" spans="1:17" x14ac:dyDescent="0.25">
      <c r="A94" s="20" t="s">
        <v>188</v>
      </c>
      <c r="B94" s="20" t="s">
        <v>10</v>
      </c>
      <c r="C94" s="20" t="s">
        <v>39</v>
      </c>
      <c r="D94" s="20" t="s">
        <v>302</v>
      </c>
      <c r="E94" s="28">
        <v>50741</v>
      </c>
      <c r="F94" s="21">
        <v>42638</v>
      </c>
      <c r="G94" s="11">
        <f t="shared" si="2"/>
        <v>2016</v>
      </c>
      <c r="H94" s="23">
        <v>3</v>
      </c>
      <c r="I94" s="20" t="s">
        <v>13</v>
      </c>
      <c r="J94" s="20" t="s">
        <v>156</v>
      </c>
      <c r="P94"/>
      <c r="Q94"/>
    </row>
    <row r="95" spans="1:17" x14ac:dyDescent="0.25">
      <c r="A95" s="20" t="s">
        <v>189</v>
      </c>
      <c r="B95" s="20" t="s">
        <v>21</v>
      </c>
      <c r="C95" s="20" t="s">
        <v>299</v>
      </c>
      <c r="D95" s="20" t="s">
        <v>60</v>
      </c>
      <c r="E95" s="28">
        <v>69420</v>
      </c>
      <c r="F95" s="21">
        <v>42645</v>
      </c>
      <c r="G95" s="11">
        <f t="shared" si="2"/>
        <v>2016</v>
      </c>
      <c r="H95" s="23">
        <v>1</v>
      </c>
      <c r="I95" s="20" t="s">
        <v>26</v>
      </c>
      <c r="J95" s="20" t="s">
        <v>119</v>
      </c>
      <c r="P95"/>
      <c r="Q95"/>
    </row>
    <row r="96" spans="1:17" x14ac:dyDescent="0.25">
      <c r="A96" s="20" t="s">
        <v>190</v>
      </c>
      <c r="B96" s="20" t="s">
        <v>29</v>
      </c>
      <c r="C96" s="20" t="s">
        <v>300</v>
      </c>
      <c r="D96" s="20" t="s">
        <v>10</v>
      </c>
      <c r="E96" s="28">
        <v>80588</v>
      </c>
      <c r="F96" s="21">
        <v>42652</v>
      </c>
      <c r="G96" s="11">
        <f t="shared" si="2"/>
        <v>2016</v>
      </c>
      <c r="H96" s="23">
        <v>5</v>
      </c>
      <c r="I96" s="20" t="s">
        <v>26</v>
      </c>
      <c r="J96" s="20" t="s">
        <v>100</v>
      </c>
      <c r="P96"/>
      <c r="Q96"/>
    </row>
    <row r="97" spans="1:17" x14ac:dyDescent="0.25">
      <c r="A97" s="20" t="s">
        <v>191</v>
      </c>
      <c r="B97" s="20" t="s">
        <v>21</v>
      </c>
      <c r="C97" s="20" t="s">
        <v>10</v>
      </c>
      <c r="D97" s="20" t="s">
        <v>301</v>
      </c>
      <c r="E97" s="28">
        <v>76238</v>
      </c>
      <c r="F97" s="21">
        <v>42659</v>
      </c>
      <c r="G97" s="11">
        <f t="shared" si="2"/>
        <v>2016</v>
      </c>
      <c r="H97" s="23">
        <v>4</v>
      </c>
      <c r="I97" s="20" t="s">
        <v>26</v>
      </c>
      <c r="J97" s="20" t="s">
        <v>192</v>
      </c>
      <c r="P97"/>
      <c r="Q97"/>
    </row>
    <row r="98" spans="1:17" x14ac:dyDescent="0.25">
      <c r="A98" s="20" t="s">
        <v>193</v>
      </c>
      <c r="B98" s="20" t="s">
        <v>50</v>
      </c>
      <c r="C98" s="20" t="s">
        <v>300</v>
      </c>
      <c r="D98" s="20" t="s">
        <v>32</v>
      </c>
      <c r="E98" s="28">
        <v>33264</v>
      </c>
      <c r="F98" s="21">
        <v>42666</v>
      </c>
      <c r="G98" s="11">
        <f t="shared" si="2"/>
        <v>2016</v>
      </c>
      <c r="H98" s="22" t="s">
        <v>10</v>
      </c>
      <c r="I98" s="20" t="s">
        <v>33</v>
      </c>
      <c r="J98" s="20" t="s">
        <v>194</v>
      </c>
      <c r="P98"/>
      <c r="Q98"/>
    </row>
    <row r="99" spans="1:17" x14ac:dyDescent="0.25">
      <c r="A99" s="20" t="s">
        <v>195</v>
      </c>
      <c r="B99" s="20" t="s">
        <v>21</v>
      </c>
      <c r="C99" s="20" t="s">
        <v>11</v>
      </c>
      <c r="D99" s="20" t="s">
        <v>60</v>
      </c>
      <c r="E99" s="28">
        <v>96101</v>
      </c>
      <c r="F99" s="21">
        <v>42673</v>
      </c>
      <c r="G99" s="11">
        <f t="shared" si="2"/>
        <v>2016</v>
      </c>
      <c r="H99" s="22" t="s">
        <v>10</v>
      </c>
      <c r="I99" s="20" t="s">
        <v>18</v>
      </c>
      <c r="J99" s="20" t="s">
        <v>196</v>
      </c>
      <c r="P99"/>
      <c r="Q99"/>
    </row>
    <row r="100" spans="1:17" x14ac:dyDescent="0.25">
      <c r="A100" s="20" t="s">
        <v>197</v>
      </c>
      <c r="B100" s="20" t="s">
        <v>29</v>
      </c>
      <c r="C100" s="20" t="s">
        <v>11</v>
      </c>
      <c r="D100" s="20" t="s">
        <v>301</v>
      </c>
      <c r="E100" s="28">
        <v>72939</v>
      </c>
      <c r="F100" s="21">
        <v>42680</v>
      </c>
      <c r="G100" s="11">
        <f t="shared" si="2"/>
        <v>2016</v>
      </c>
      <c r="H100" s="23">
        <v>3</v>
      </c>
      <c r="I100" s="20" t="s">
        <v>10</v>
      </c>
      <c r="J100" s="20" t="s">
        <v>198</v>
      </c>
      <c r="P100"/>
      <c r="Q100"/>
    </row>
    <row r="101" spans="1:17" x14ac:dyDescent="0.25">
      <c r="A101" s="20" t="s">
        <v>199</v>
      </c>
      <c r="B101" s="20" t="s">
        <v>36</v>
      </c>
      <c r="C101" s="20" t="s">
        <v>299</v>
      </c>
      <c r="D101" s="20" t="s">
        <v>17</v>
      </c>
      <c r="E101" s="28">
        <v>89333</v>
      </c>
      <c r="F101" s="21">
        <v>42687</v>
      </c>
      <c r="G101" s="11">
        <f t="shared" ref="G101:G132" si="3">YEAR(F101)</f>
        <v>2016</v>
      </c>
      <c r="H101" s="23">
        <v>1</v>
      </c>
      <c r="I101" s="20" t="s">
        <v>26</v>
      </c>
      <c r="J101" s="20" t="s">
        <v>200</v>
      </c>
      <c r="P101"/>
      <c r="Q101"/>
    </row>
    <row r="102" spans="1:17" x14ac:dyDescent="0.25">
      <c r="A102" s="20" t="s">
        <v>201</v>
      </c>
      <c r="B102" s="20" t="s">
        <v>50</v>
      </c>
      <c r="C102" s="20" t="s">
        <v>300</v>
      </c>
      <c r="D102" s="20" t="s">
        <v>60</v>
      </c>
      <c r="E102" s="28">
        <v>70470</v>
      </c>
      <c r="F102" s="21">
        <v>42694</v>
      </c>
      <c r="G102" s="11">
        <f t="shared" si="3"/>
        <v>2016</v>
      </c>
      <c r="H102" s="22" t="s">
        <v>10</v>
      </c>
      <c r="I102" s="20" t="s">
        <v>26</v>
      </c>
      <c r="J102" s="20" t="s">
        <v>202</v>
      </c>
      <c r="P102"/>
      <c r="Q102"/>
    </row>
    <row r="103" spans="1:17" x14ac:dyDescent="0.25">
      <c r="A103" s="20" t="s">
        <v>203</v>
      </c>
      <c r="B103" s="20" t="s">
        <v>16</v>
      </c>
      <c r="C103" s="20" t="s">
        <v>39</v>
      </c>
      <c r="D103" s="20" t="s">
        <v>301</v>
      </c>
      <c r="E103" s="28">
        <v>70096</v>
      </c>
      <c r="F103" s="21">
        <v>42701</v>
      </c>
      <c r="G103" s="11">
        <f t="shared" si="3"/>
        <v>2016</v>
      </c>
      <c r="H103" s="23">
        <v>4</v>
      </c>
      <c r="I103" s="20" t="s">
        <v>26</v>
      </c>
      <c r="J103" s="20" t="s">
        <v>204</v>
      </c>
      <c r="P103"/>
      <c r="Q103"/>
    </row>
    <row r="104" spans="1:17" x14ac:dyDescent="0.25">
      <c r="A104" s="20" t="s">
        <v>205</v>
      </c>
      <c r="B104" s="20" t="s">
        <v>50</v>
      </c>
      <c r="C104" s="20" t="s">
        <v>39</v>
      </c>
      <c r="D104" s="20" t="s">
        <v>10</v>
      </c>
      <c r="E104" s="28" t="s">
        <v>12</v>
      </c>
      <c r="F104" s="21">
        <v>42708</v>
      </c>
      <c r="G104" s="11">
        <f t="shared" si="3"/>
        <v>2016</v>
      </c>
      <c r="H104" s="23">
        <v>2</v>
      </c>
      <c r="I104" s="20" t="s">
        <v>18</v>
      </c>
      <c r="J104" s="20" t="s">
        <v>206</v>
      </c>
      <c r="P104"/>
      <c r="Q104"/>
    </row>
    <row r="105" spans="1:17" x14ac:dyDescent="0.25">
      <c r="A105" s="20" t="s">
        <v>207</v>
      </c>
      <c r="B105" s="20" t="s">
        <v>50</v>
      </c>
      <c r="C105" s="20" t="s">
        <v>300</v>
      </c>
      <c r="D105" s="20" t="s">
        <v>17</v>
      </c>
      <c r="E105" s="28">
        <v>66503</v>
      </c>
      <c r="F105" s="21">
        <v>42715</v>
      </c>
      <c r="G105" s="11">
        <f t="shared" si="3"/>
        <v>2016</v>
      </c>
      <c r="H105" s="22" t="s">
        <v>10</v>
      </c>
      <c r="I105" s="20" t="s">
        <v>26</v>
      </c>
      <c r="J105" s="20" t="s">
        <v>67</v>
      </c>
      <c r="P105"/>
      <c r="Q105"/>
    </row>
    <row r="106" spans="1:17" x14ac:dyDescent="0.25">
      <c r="A106" s="20" t="s">
        <v>208</v>
      </c>
      <c r="B106" s="20" t="s">
        <v>21</v>
      </c>
      <c r="C106" s="20" t="s">
        <v>299</v>
      </c>
      <c r="D106" s="20" t="s">
        <v>17</v>
      </c>
      <c r="E106" s="28">
        <v>42096</v>
      </c>
      <c r="F106" s="21">
        <v>42722</v>
      </c>
      <c r="G106" s="11">
        <f t="shared" si="3"/>
        <v>2016</v>
      </c>
      <c r="H106" s="22" t="s">
        <v>10</v>
      </c>
      <c r="I106" s="20" t="s">
        <v>33</v>
      </c>
      <c r="J106" s="20" t="s">
        <v>209</v>
      </c>
      <c r="P106"/>
      <c r="Q106"/>
    </row>
    <row r="107" spans="1:17" x14ac:dyDescent="0.25">
      <c r="A107" s="20" t="s">
        <v>210</v>
      </c>
      <c r="B107" s="20" t="s">
        <v>21</v>
      </c>
      <c r="C107" s="20" t="s">
        <v>39</v>
      </c>
      <c r="D107" s="20" t="s">
        <v>10</v>
      </c>
      <c r="E107" s="28">
        <v>79145</v>
      </c>
      <c r="F107" s="21">
        <v>42729</v>
      </c>
      <c r="G107" s="11">
        <f t="shared" si="3"/>
        <v>2016</v>
      </c>
      <c r="H107" s="23">
        <v>5</v>
      </c>
      <c r="I107" s="20" t="s">
        <v>18</v>
      </c>
      <c r="J107" s="20" t="s">
        <v>114</v>
      </c>
      <c r="P107"/>
      <c r="Q107"/>
    </row>
    <row r="108" spans="1:17" x14ac:dyDescent="0.25">
      <c r="A108" s="20" t="s">
        <v>211</v>
      </c>
      <c r="B108" s="20" t="s">
        <v>29</v>
      </c>
      <c r="C108" s="20" t="s">
        <v>10</v>
      </c>
      <c r="D108" s="20" t="s">
        <v>60</v>
      </c>
      <c r="E108" s="28">
        <v>61556</v>
      </c>
      <c r="F108" s="21">
        <v>42736</v>
      </c>
      <c r="G108" s="11">
        <f t="shared" si="3"/>
        <v>2017</v>
      </c>
      <c r="H108" s="23">
        <v>1</v>
      </c>
      <c r="I108" s="20" t="s">
        <v>10</v>
      </c>
      <c r="J108" s="20" t="s">
        <v>206</v>
      </c>
      <c r="P108"/>
      <c r="Q108"/>
    </row>
    <row r="109" spans="1:17" x14ac:dyDescent="0.25">
      <c r="A109" s="20" t="s">
        <v>212</v>
      </c>
      <c r="B109" s="20" t="s">
        <v>10</v>
      </c>
      <c r="C109" s="20" t="s">
        <v>299</v>
      </c>
      <c r="D109" s="20" t="s">
        <v>302</v>
      </c>
      <c r="E109" s="28">
        <v>87963</v>
      </c>
      <c r="F109" s="21">
        <v>42743</v>
      </c>
      <c r="G109" s="11">
        <f t="shared" si="3"/>
        <v>2017</v>
      </c>
      <c r="H109" s="23">
        <v>3</v>
      </c>
      <c r="I109" s="20" t="s">
        <v>18</v>
      </c>
      <c r="J109" s="20" t="s">
        <v>14</v>
      </c>
      <c r="P109"/>
      <c r="Q109"/>
    </row>
    <row r="110" spans="1:17" x14ac:dyDescent="0.25">
      <c r="A110" s="20" t="s">
        <v>213</v>
      </c>
      <c r="B110" s="20" t="s">
        <v>16</v>
      </c>
      <c r="C110" s="20" t="s">
        <v>300</v>
      </c>
      <c r="D110" s="20" t="s">
        <v>10</v>
      </c>
      <c r="E110" s="28">
        <v>48325</v>
      </c>
      <c r="F110" s="21">
        <v>42750</v>
      </c>
      <c r="G110" s="11">
        <f t="shared" si="3"/>
        <v>2017</v>
      </c>
      <c r="H110" s="22" t="s">
        <v>10</v>
      </c>
      <c r="I110" s="20" t="s">
        <v>26</v>
      </c>
      <c r="J110" s="20" t="s">
        <v>214</v>
      </c>
      <c r="P110"/>
      <c r="Q110"/>
    </row>
    <row r="111" spans="1:17" x14ac:dyDescent="0.25">
      <c r="A111" s="20" t="s">
        <v>215</v>
      </c>
      <c r="B111" s="20" t="s">
        <v>36</v>
      </c>
      <c r="C111" s="20" t="s">
        <v>39</v>
      </c>
      <c r="D111" s="20" t="s">
        <v>60</v>
      </c>
      <c r="E111" s="28">
        <v>86412</v>
      </c>
      <c r="F111" s="21">
        <v>42757</v>
      </c>
      <c r="G111" s="11">
        <f t="shared" si="3"/>
        <v>2017</v>
      </c>
      <c r="H111" s="23">
        <v>2</v>
      </c>
      <c r="I111" s="20" t="s">
        <v>33</v>
      </c>
      <c r="J111" s="20" t="s">
        <v>71</v>
      </c>
      <c r="P111"/>
      <c r="Q111"/>
    </row>
    <row r="112" spans="1:17" x14ac:dyDescent="0.25">
      <c r="A112" s="20" t="s">
        <v>216</v>
      </c>
      <c r="B112" s="20" t="s">
        <v>36</v>
      </c>
      <c r="C112" s="20" t="s">
        <v>299</v>
      </c>
      <c r="D112" s="20" t="s">
        <v>10</v>
      </c>
      <c r="E112" s="28">
        <v>66761</v>
      </c>
      <c r="F112" s="21">
        <v>42764</v>
      </c>
      <c r="G112" s="11">
        <f t="shared" si="3"/>
        <v>2017</v>
      </c>
      <c r="H112" s="23">
        <v>1</v>
      </c>
      <c r="I112" s="20" t="s">
        <v>10</v>
      </c>
      <c r="J112" s="20" t="s">
        <v>217</v>
      </c>
      <c r="P112"/>
      <c r="Q112"/>
    </row>
    <row r="113" spans="1:17" x14ac:dyDescent="0.25">
      <c r="A113" s="20" t="s">
        <v>218</v>
      </c>
      <c r="B113" s="20" t="s">
        <v>29</v>
      </c>
      <c r="C113" s="20" t="s">
        <v>10</v>
      </c>
      <c r="D113" s="20" t="s">
        <v>32</v>
      </c>
      <c r="E113" s="28">
        <v>88850</v>
      </c>
      <c r="F113" s="21">
        <v>42771</v>
      </c>
      <c r="G113" s="11">
        <f t="shared" si="3"/>
        <v>2017</v>
      </c>
      <c r="H113" s="23">
        <v>1</v>
      </c>
      <c r="I113" s="20" t="s">
        <v>33</v>
      </c>
      <c r="J113" s="20" t="s">
        <v>219</v>
      </c>
      <c r="P113"/>
      <c r="Q113"/>
    </row>
    <row r="114" spans="1:17" x14ac:dyDescent="0.25">
      <c r="A114" s="20" t="s">
        <v>220</v>
      </c>
      <c r="B114" s="20" t="s">
        <v>38</v>
      </c>
      <c r="C114" s="20" t="s">
        <v>25</v>
      </c>
      <c r="D114" s="20" t="s">
        <v>32</v>
      </c>
      <c r="E114" s="28">
        <v>31293</v>
      </c>
      <c r="F114" s="21"/>
      <c r="G114" s="11">
        <f t="shared" si="3"/>
        <v>1900</v>
      </c>
      <c r="H114" s="23">
        <v>2</v>
      </c>
      <c r="I114" s="20" t="s">
        <v>33</v>
      </c>
      <c r="J114" s="20" t="s">
        <v>221</v>
      </c>
      <c r="P114"/>
      <c r="Q114"/>
    </row>
    <row r="115" spans="1:17" x14ac:dyDescent="0.25">
      <c r="A115" s="20" t="s">
        <v>222</v>
      </c>
      <c r="B115" s="20" t="s">
        <v>38</v>
      </c>
      <c r="C115" s="20" t="s">
        <v>300</v>
      </c>
      <c r="D115" s="20" t="s">
        <v>301</v>
      </c>
      <c r="E115" s="28">
        <v>34306</v>
      </c>
      <c r="F115" s="21">
        <v>42785</v>
      </c>
      <c r="G115" s="11">
        <f t="shared" si="3"/>
        <v>2017</v>
      </c>
      <c r="H115" s="23">
        <v>5</v>
      </c>
      <c r="I115" s="20" t="s">
        <v>33</v>
      </c>
      <c r="J115" s="20" t="s">
        <v>153</v>
      </c>
      <c r="P115"/>
      <c r="Q115"/>
    </row>
    <row r="116" spans="1:17" x14ac:dyDescent="0.25">
      <c r="A116" s="20" t="s">
        <v>223</v>
      </c>
      <c r="B116" s="20" t="s">
        <v>16</v>
      </c>
      <c r="C116" s="20" t="s">
        <v>11</v>
      </c>
      <c r="D116" s="20" t="s">
        <v>32</v>
      </c>
      <c r="E116" s="28">
        <v>78330</v>
      </c>
      <c r="F116" s="21">
        <v>42792</v>
      </c>
      <c r="G116" s="11">
        <f t="shared" si="3"/>
        <v>2017</v>
      </c>
      <c r="H116" s="22" t="s">
        <v>10</v>
      </c>
      <c r="I116" s="20" t="s">
        <v>18</v>
      </c>
      <c r="J116" s="20" t="s">
        <v>204</v>
      </c>
      <c r="P116"/>
      <c r="Q116"/>
    </row>
    <row r="117" spans="1:17" x14ac:dyDescent="0.25">
      <c r="A117" s="20" t="s">
        <v>224</v>
      </c>
      <c r="B117" s="20" t="s">
        <v>21</v>
      </c>
      <c r="C117" s="20" t="s">
        <v>300</v>
      </c>
      <c r="D117" s="20" t="s">
        <v>301</v>
      </c>
      <c r="E117" s="28">
        <v>47653</v>
      </c>
      <c r="F117" s="21">
        <v>42799</v>
      </c>
      <c r="G117" s="11">
        <f t="shared" si="3"/>
        <v>2017</v>
      </c>
      <c r="H117" s="23">
        <v>1</v>
      </c>
      <c r="I117" s="20" t="s">
        <v>26</v>
      </c>
      <c r="J117" s="20" t="s">
        <v>225</v>
      </c>
      <c r="P117"/>
      <c r="Q117"/>
    </row>
    <row r="118" spans="1:17" x14ac:dyDescent="0.25">
      <c r="A118" s="20" t="s">
        <v>226</v>
      </c>
      <c r="B118" s="20" t="s">
        <v>16</v>
      </c>
      <c r="C118" s="20" t="s">
        <v>39</v>
      </c>
      <c r="D118" s="20" t="s">
        <v>302</v>
      </c>
      <c r="E118" s="28">
        <v>44627</v>
      </c>
      <c r="F118" s="21">
        <v>42806</v>
      </c>
      <c r="G118" s="11">
        <f t="shared" si="3"/>
        <v>2017</v>
      </c>
      <c r="H118" s="23">
        <v>4</v>
      </c>
      <c r="I118" s="20" t="s">
        <v>10</v>
      </c>
      <c r="J118" s="20" t="s">
        <v>145</v>
      </c>
      <c r="P118"/>
      <c r="Q118"/>
    </row>
    <row r="119" spans="1:17" x14ac:dyDescent="0.25">
      <c r="A119" s="20" t="s">
        <v>227</v>
      </c>
      <c r="B119" s="20" t="s">
        <v>50</v>
      </c>
      <c r="C119" s="20" t="s">
        <v>299</v>
      </c>
      <c r="D119" s="20" t="s">
        <v>17</v>
      </c>
      <c r="E119" s="28">
        <v>92343</v>
      </c>
      <c r="F119" s="21">
        <v>42813</v>
      </c>
      <c r="G119" s="11">
        <f t="shared" si="3"/>
        <v>2017</v>
      </c>
      <c r="H119" s="23">
        <v>4</v>
      </c>
      <c r="I119" s="20" t="s">
        <v>33</v>
      </c>
      <c r="J119" s="20" t="s">
        <v>73</v>
      </c>
      <c r="P119"/>
      <c r="Q119"/>
    </row>
    <row r="120" spans="1:17" x14ac:dyDescent="0.25">
      <c r="A120" s="20" t="s">
        <v>228</v>
      </c>
      <c r="B120" s="20" t="s">
        <v>50</v>
      </c>
      <c r="C120" s="20" t="s">
        <v>39</v>
      </c>
      <c r="D120" s="20" t="s">
        <v>60</v>
      </c>
      <c r="E120" s="28">
        <v>38837</v>
      </c>
      <c r="F120" s="21">
        <v>42820</v>
      </c>
      <c r="G120" s="11">
        <f t="shared" si="3"/>
        <v>2017</v>
      </c>
      <c r="H120" s="23">
        <v>5</v>
      </c>
      <c r="I120" s="20" t="s">
        <v>33</v>
      </c>
      <c r="J120" s="20" t="s">
        <v>153</v>
      </c>
      <c r="P120"/>
      <c r="Q120"/>
    </row>
    <row r="121" spans="1:17" x14ac:dyDescent="0.25">
      <c r="A121" s="20" t="s">
        <v>229</v>
      </c>
      <c r="B121" s="20" t="s">
        <v>50</v>
      </c>
      <c r="C121" s="20" t="s">
        <v>39</v>
      </c>
      <c r="D121" s="20" t="s">
        <v>10</v>
      </c>
      <c r="E121" s="28">
        <v>73483</v>
      </c>
      <c r="F121" s="21">
        <v>42827</v>
      </c>
      <c r="G121" s="11">
        <f t="shared" si="3"/>
        <v>2017</v>
      </c>
      <c r="H121" s="23">
        <v>1</v>
      </c>
      <c r="I121" s="20" t="s">
        <v>10</v>
      </c>
      <c r="J121" s="20" t="s">
        <v>230</v>
      </c>
      <c r="P121"/>
      <c r="Q121"/>
    </row>
    <row r="122" spans="1:17" x14ac:dyDescent="0.25">
      <c r="A122" s="20" t="s">
        <v>231</v>
      </c>
      <c r="B122" s="20" t="s">
        <v>38</v>
      </c>
      <c r="C122" s="20" t="s">
        <v>25</v>
      </c>
      <c r="D122" s="20" t="s">
        <v>32</v>
      </c>
      <c r="E122" s="28">
        <v>95032</v>
      </c>
      <c r="F122" s="21">
        <v>42834</v>
      </c>
      <c r="G122" s="11">
        <f t="shared" si="3"/>
        <v>2017</v>
      </c>
      <c r="H122" s="23">
        <v>3</v>
      </c>
      <c r="I122" s="20" t="s">
        <v>10</v>
      </c>
      <c r="J122" s="20" t="s">
        <v>232</v>
      </c>
      <c r="P122"/>
      <c r="Q122"/>
    </row>
    <row r="123" spans="1:17" x14ac:dyDescent="0.25">
      <c r="A123" s="20" t="s">
        <v>233</v>
      </c>
      <c r="B123" s="20" t="s">
        <v>16</v>
      </c>
      <c r="C123" s="20" t="s">
        <v>25</v>
      </c>
      <c r="D123" s="20" t="s">
        <v>60</v>
      </c>
      <c r="E123" s="28">
        <v>44358</v>
      </c>
      <c r="F123" s="21">
        <v>42841</v>
      </c>
      <c r="G123" s="11">
        <f t="shared" si="3"/>
        <v>2017</v>
      </c>
      <c r="H123" s="22" t="s">
        <v>10</v>
      </c>
      <c r="I123" s="20" t="s">
        <v>33</v>
      </c>
      <c r="J123" s="20" t="s">
        <v>67</v>
      </c>
      <c r="P123"/>
      <c r="Q123"/>
    </row>
    <row r="124" spans="1:17" x14ac:dyDescent="0.25">
      <c r="A124" s="20" t="s">
        <v>234</v>
      </c>
      <c r="B124" s="20" t="s">
        <v>10</v>
      </c>
      <c r="C124" s="20" t="s">
        <v>300</v>
      </c>
      <c r="D124" s="20" t="s">
        <v>301</v>
      </c>
      <c r="E124" s="28" t="s">
        <v>12</v>
      </c>
      <c r="F124" s="21"/>
      <c r="G124" s="11">
        <f t="shared" si="3"/>
        <v>1900</v>
      </c>
      <c r="H124" s="23">
        <v>5</v>
      </c>
      <c r="I124" s="20" t="s">
        <v>13</v>
      </c>
      <c r="J124" s="20" t="s">
        <v>235</v>
      </c>
      <c r="P124"/>
      <c r="Q124"/>
    </row>
    <row r="125" spans="1:17" x14ac:dyDescent="0.25">
      <c r="A125" s="20" t="s">
        <v>236</v>
      </c>
      <c r="B125" s="20" t="s">
        <v>38</v>
      </c>
      <c r="C125" s="20" t="s">
        <v>25</v>
      </c>
      <c r="D125" s="20" t="s">
        <v>301</v>
      </c>
      <c r="E125" s="28">
        <v>45676</v>
      </c>
      <c r="F125" s="21">
        <v>42855</v>
      </c>
      <c r="G125" s="11">
        <f t="shared" si="3"/>
        <v>2017</v>
      </c>
      <c r="H125" s="23">
        <v>2</v>
      </c>
      <c r="I125" s="20" t="s">
        <v>10</v>
      </c>
      <c r="J125" s="20" t="s">
        <v>237</v>
      </c>
      <c r="P125"/>
      <c r="Q125"/>
    </row>
    <row r="126" spans="1:17" x14ac:dyDescent="0.25">
      <c r="A126" s="20" t="s">
        <v>238</v>
      </c>
      <c r="B126" s="20" t="s">
        <v>50</v>
      </c>
      <c r="C126" s="20" t="s">
        <v>25</v>
      </c>
      <c r="D126" s="20" t="s">
        <v>17</v>
      </c>
      <c r="E126" s="28">
        <v>52036</v>
      </c>
      <c r="F126" s="21">
        <v>42862</v>
      </c>
      <c r="G126" s="11">
        <f t="shared" si="3"/>
        <v>2017</v>
      </c>
      <c r="H126" s="23">
        <v>3</v>
      </c>
      <c r="I126" s="20" t="s">
        <v>26</v>
      </c>
      <c r="J126" s="20" t="s">
        <v>239</v>
      </c>
      <c r="P126"/>
      <c r="Q126"/>
    </row>
    <row r="127" spans="1:17" x14ac:dyDescent="0.25">
      <c r="A127" s="20" t="s">
        <v>240</v>
      </c>
      <c r="B127" s="20" t="s">
        <v>29</v>
      </c>
      <c r="C127" s="20" t="s">
        <v>10</v>
      </c>
      <c r="D127" s="20" t="s">
        <v>17</v>
      </c>
      <c r="E127" s="28">
        <v>30357</v>
      </c>
      <c r="F127" s="21">
        <v>42869</v>
      </c>
      <c r="G127" s="11">
        <f t="shared" si="3"/>
        <v>2017</v>
      </c>
      <c r="H127" s="23">
        <v>5</v>
      </c>
      <c r="I127" s="20" t="s">
        <v>26</v>
      </c>
      <c r="J127" s="20" t="s">
        <v>178</v>
      </c>
      <c r="P127"/>
      <c r="Q127"/>
    </row>
    <row r="128" spans="1:17" x14ac:dyDescent="0.25">
      <c r="A128" s="20" t="s">
        <v>241</v>
      </c>
      <c r="B128" s="20" t="s">
        <v>24</v>
      </c>
      <c r="C128" s="20" t="s">
        <v>300</v>
      </c>
      <c r="D128" s="20" t="s">
        <v>10</v>
      </c>
      <c r="E128" s="28">
        <v>60034</v>
      </c>
      <c r="F128" s="21">
        <v>42876</v>
      </c>
      <c r="G128" s="11">
        <f t="shared" si="3"/>
        <v>2017</v>
      </c>
      <c r="H128" s="23">
        <v>1</v>
      </c>
      <c r="I128" s="20" t="s">
        <v>33</v>
      </c>
      <c r="J128" s="20" t="s">
        <v>242</v>
      </c>
      <c r="P128"/>
      <c r="Q128"/>
    </row>
    <row r="129" spans="1:17" x14ac:dyDescent="0.25">
      <c r="A129" s="20" t="s">
        <v>243</v>
      </c>
      <c r="B129" s="20" t="s">
        <v>24</v>
      </c>
      <c r="C129" s="20" t="s">
        <v>11</v>
      </c>
      <c r="D129" s="20" t="s">
        <v>10</v>
      </c>
      <c r="E129" s="28">
        <v>90019</v>
      </c>
      <c r="F129" s="21">
        <v>42883</v>
      </c>
      <c r="G129" s="11">
        <f t="shared" si="3"/>
        <v>2017</v>
      </c>
      <c r="H129" s="23">
        <v>5</v>
      </c>
      <c r="I129" s="20" t="s">
        <v>10</v>
      </c>
      <c r="J129" s="20" t="s">
        <v>244</v>
      </c>
      <c r="P129"/>
      <c r="Q129"/>
    </row>
    <row r="130" spans="1:17" x14ac:dyDescent="0.25">
      <c r="A130" s="20" t="s">
        <v>245</v>
      </c>
      <c r="B130" s="20" t="s">
        <v>50</v>
      </c>
      <c r="C130" s="20" t="s">
        <v>10</v>
      </c>
      <c r="D130" s="20" t="s">
        <v>17</v>
      </c>
      <c r="E130" s="28">
        <v>71494</v>
      </c>
      <c r="F130" s="21">
        <v>42890</v>
      </c>
      <c r="G130" s="11">
        <f t="shared" si="3"/>
        <v>2017</v>
      </c>
      <c r="H130" s="23">
        <v>3</v>
      </c>
      <c r="I130" s="20" t="s">
        <v>26</v>
      </c>
      <c r="J130" s="20" t="s">
        <v>246</v>
      </c>
      <c r="P130"/>
      <c r="Q130"/>
    </row>
    <row r="131" spans="1:17" x14ac:dyDescent="0.25">
      <c r="A131" s="20" t="s">
        <v>247</v>
      </c>
      <c r="B131" s="20" t="s">
        <v>24</v>
      </c>
      <c r="C131" s="20" t="s">
        <v>11</v>
      </c>
      <c r="D131" s="20" t="s">
        <v>301</v>
      </c>
      <c r="E131" s="28">
        <v>91953</v>
      </c>
      <c r="F131" s="21">
        <v>42897</v>
      </c>
      <c r="G131" s="11">
        <f t="shared" si="3"/>
        <v>2017</v>
      </c>
      <c r="H131" s="23">
        <v>2</v>
      </c>
      <c r="I131" s="20" t="s">
        <v>26</v>
      </c>
      <c r="J131" s="20" t="s">
        <v>85</v>
      </c>
      <c r="P131"/>
      <c r="Q131"/>
    </row>
    <row r="132" spans="1:17" x14ac:dyDescent="0.25">
      <c r="A132" s="20" t="s">
        <v>248</v>
      </c>
      <c r="B132" s="20" t="s">
        <v>38</v>
      </c>
      <c r="C132" s="20" t="s">
        <v>25</v>
      </c>
      <c r="D132" s="20" t="s">
        <v>301</v>
      </c>
      <c r="E132" s="28">
        <v>30402</v>
      </c>
      <c r="F132" s="21">
        <v>42904</v>
      </c>
      <c r="G132" s="11">
        <f t="shared" si="3"/>
        <v>2017</v>
      </c>
      <c r="H132" s="23">
        <v>1</v>
      </c>
      <c r="I132" s="20" t="s">
        <v>10</v>
      </c>
      <c r="J132" s="20" t="s">
        <v>249</v>
      </c>
      <c r="P132"/>
      <c r="Q132"/>
    </row>
    <row r="133" spans="1:17" x14ac:dyDescent="0.25">
      <c r="A133" s="20" t="s">
        <v>250</v>
      </c>
      <c r="B133" s="20" t="s">
        <v>50</v>
      </c>
      <c r="C133" s="20" t="s">
        <v>10</v>
      </c>
      <c r="D133" s="20" t="s">
        <v>302</v>
      </c>
      <c r="E133" s="28">
        <v>62994</v>
      </c>
      <c r="F133" s="21">
        <v>42911</v>
      </c>
      <c r="G133" s="11">
        <f t="shared" ref="G133:G153" si="4">YEAR(F133)</f>
        <v>2017</v>
      </c>
      <c r="H133" s="22" t="s">
        <v>10</v>
      </c>
      <c r="I133" s="20" t="s">
        <v>10</v>
      </c>
      <c r="J133" s="20" t="s">
        <v>110</v>
      </c>
      <c r="P133"/>
      <c r="Q133"/>
    </row>
    <row r="134" spans="1:17" x14ac:dyDescent="0.25">
      <c r="A134" s="20" t="s">
        <v>251</v>
      </c>
      <c r="B134" s="20" t="s">
        <v>21</v>
      </c>
      <c r="C134" s="20" t="s">
        <v>25</v>
      </c>
      <c r="D134" s="20" t="s">
        <v>32</v>
      </c>
      <c r="E134" s="28">
        <v>48289</v>
      </c>
      <c r="F134" s="21"/>
      <c r="G134" s="11">
        <f t="shared" si="4"/>
        <v>1900</v>
      </c>
      <c r="H134" s="23">
        <v>3</v>
      </c>
      <c r="I134" s="20" t="s">
        <v>26</v>
      </c>
      <c r="J134" s="20" t="s">
        <v>42</v>
      </c>
      <c r="P134"/>
      <c r="Q134"/>
    </row>
    <row r="135" spans="1:17" x14ac:dyDescent="0.25">
      <c r="A135" s="20" t="s">
        <v>252</v>
      </c>
      <c r="B135" s="20" t="s">
        <v>36</v>
      </c>
      <c r="C135" s="20" t="s">
        <v>39</v>
      </c>
      <c r="D135" s="20" t="s">
        <v>17</v>
      </c>
      <c r="E135" s="28">
        <v>34402</v>
      </c>
      <c r="F135" s="21">
        <v>42925</v>
      </c>
      <c r="G135" s="11">
        <f t="shared" si="4"/>
        <v>2017</v>
      </c>
      <c r="H135" s="23">
        <v>3</v>
      </c>
      <c r="I135" s="20" t="s">
        <v>18</v>
      </c>
      <c r="J135" s="20" t="s">
        <v>104</v>
      </c>
      <c r="P135"/>
      <c r="Q135"/>
    </row>
    <row r="136" spans="1:17" x14ac:dyDescent="0.25">
      <c r="A136" s="20" t="s">
        <v>253</v>
      </c>
      <c r="B136" s="20" t="s">
        <v>16</v>
      </c>
      <c r="C136" s="20" t="s">
        <v>299</v>
      </c>
      <c r="D136" s="20" t="s">
        <v>301</v>
      </c>
      <c r="E136" s="28">
        <v>38678</v>
      </c>
      <c r="F136" s="21">
        <v>42932</v>
      </c>
      <c r="G136" s="11">
        <f t="shared" si="4"/>
        <v>2017</v>
      </c>
      <c r="H136" s="23">
        <v>3</v>
      </c>
      <c r="I136" s="20" t="s">
        <v>18</v>
      </c>
      <c r="J136" s="20" t="s">
        <v>254</v>
      </c>
      <c r="P136"/>
      <c r="Q136"/>
    </row>
    <row r="137" spans="1:17" x14ac:dyDescent="0.25">
      <c r="A137" s="20" t="s">
        <v>255</v>
      </c>
      <c r="B137" s="20" t="s">
        <v>38</v>
      </c>
      <c r="C137" s="20" t="s">
        <v>299</v>
      </c>
      <c r="D137" s="20" t="s">
        <v>17</v>
      </c>
      <c r="E137" s="28">
        <v>45758</v>
      </c>
      <c r="F137" s="21">
        <v>42939</v>
      </c>
      <c r="G137" s="11">
        <f t="shared" si="4"/>
        <v>2017</v>
      </c>
      <c r="H137" s="23">
        <v>3</v>
      </c>
      <c r="I137" s="20" t="s">
        <v>10</v>
      </c>
      <c r="J137" s="20" t="s">
        <v>221</v>
      </c>
      <c r="P137"/>
      <c r="Q137"/>
    </row>
    <row r="138" spans="1:17" x14ac:dyDescent="0.25">
      <c r="A138" s="20" t="s">
        <v>256</v>
      </c>
      <c r="B138" s="20" t="s">
        <v>16</v>
      </c>
      <c r="C138" s="20" t="s">
        <v>39</v>
      </c>
      <c r="D138" s="20" t="s">
        <v>32</v>
      </c>
      <c r="E138" s="28">
        <v>62476</v>
      </c>
      <c r="F138" s="21">
        <v>42946</v>
      </c>
      <c r="G138" s="11">
        <f t="shared" si="4"/>
        <v>2017</v>
      </c>
      <c r="H138" s="23">
        <v>1</v>
      </c>
      <c r="I138" s="20" t="s">
        <v>18</v>
      </c>
      <c r="J138" s="20" t="s">
        <v>134</v>
      </c>
      <c r="P138"/>
      <c r="Q138"/>
    </row>
    <row r="139" spans="1:17" x14ac:dyDescent="0.25">
      <c r="A139" s="20" t="s">
        <v>257</v>
      </c>
      <c r="B139" s="20" t="s">
        <v>10</v>
      </c>
      <c r="C139" s="20" t="s">
        <v>300</v>
      </c>
      <c r="D139" s="20" t="s">
        <v>302</v>
      </c>
      <c r="E139" s="28">
        <v>39280</v>
      </c>
      <c r="F139" s="21">
        <v>42953</v>
      </c>
      <c r="G139" s="11">
        <f t="shared" si="4"/>
        <v>2017</v>
      </c>
      <c r="H139" s="23">
        <v>3</v>
      </c>
      <c r="I139" s="20" t="s">
        <v>33</v>
      </c>
      <c r="J139" s="20" t="s">
        <v>95</v>
      </c>
      <c r="P139"/>
      <c r="Q139"/>
    </row>
    <row r="140" spans="1:17" x14ac:dyDescent="0.25">
      <c r="A140" s="20" t="s">
        <v>258</v>
      </c>
      <c r="B140" s="20" t="s">
        <v>29</v>
      </c>
      <c r="C140" s="20" t="s">
        <v>11</v>
      </c>
      <c r="D140" s="20" t="s">
        <v>32</v>
      </c>
      <c r="E140" s="28">
        <v>60335</v>
      </c>
      <c r="F140" s="21">
        <v>42960</v>
      </c>
      <c r="G140" s="11">
        <f t="shared" si="4"/>
        <v>2017</v>
      </c>
      <c r="H140" s="23">
        <v>4</v>
      </c>
      <c r="I140" s="20" t="s">
        <v>18</v>
      </c>
      <c r="J140" s="20" t="s">
        <v>125</v>
      </c>
      <c r="P140"/>
      <c r="Q140"/>
    </row>
    <row r="141" spans="1:17" x14ac:dyDescent="0.25">
      <c r="A141" s="20" t="s">
        <v>259</v>
      </c>
      <c r="B141" s="20" t="s">
        <v>38</v>
      </c>
      <c r="C141" s="20" t="s">
        <v>299</v>
      </c>
      <c r="D141" s="20" t="s">
        <v>17</v>
      </c>
      <c r="E141" s="28">
        <v>84968</v>
      </c>
      <c r="F141" s="21">
        <v>42967</v>
      </c>
      <c r="G141" s="11">
        <f t="shared" si="4"/>
        <v>2017</v>
      </c>
      <c r="H141" s="22" t="s">
        <v>10</v>
      </c>
      <c r="I141" s="20" t="s">
        <v>10</v>
      </c>
      <c r="J141" s="20" t="s">
        <v>260</v>
      </c>
      <c r="P141"/>
      <c r="Q141"/>
    </row>
    <row r="142" spans="1:17" x14ac:dyDescent="0.25">
      <c r="A142" s="20" t="s">
        <v>261</v>
      </c>
      <c r="B142" s="20" t="s">
        <v>38</v>
      </c>
      <c r="C142" s="20" t="s">
        <v>39</v>
      </c>
      <c r="D142" s="20" t="s">
        <v>60</v>
      </c>
      <c r="E142" s="28">
        <v>84750</v>
      </c>
      <c r="F142" s="21">
        <v>42974</v>
      </c>
      <c r="G142" s="11">
        <f t="shared" si="4"/>
        <v>2017</v>
      </c>
      <c r="H142" s="23">
        <v>4</v>
      </c>
      <c r="I142" s="20" t="s">
        <v>33</v>
      </c>
      <c r="J142" s="20" t="s">
        <v>56</v>
      </c>
      <c r="P142"/>
      <c r="Q142"/>
    </row>
    <row r="143" spans="1:17" x14ac:dyDescent="0.25">
      <c r="A143" s="20" t="s">
        <v>262</v>
      </c>
      <c r="B143" s="20" t="s">
        <v>50</v>
      </c>
      <c r="C143" s="20" t="s">
        <v>300</v>
      </c>
      <c r="D143" s="20" t="s">
        <v>10</v>
      </c>
      <c r="E143" s="28">
        <v>73348</v>
      </c>
      <c r="F143" s="21">
        <v>42981</v>
      </c>
      <c r="G143" s="11">
        <f t="shared" si="4"/>
        <v>2017</v>
      </c>
      <c r="H143" s="23">
        <v>2</v>
      </c>
      <c r="I143" s="20" t="s">
        <v>10</v>
      </c>
      <c r="J143" s="20" t="s">
        <v>167</v>
      </c>
      <c r="P143"/>
      <c r="Q143"/>
    </row>
    <row r="144" spans="1:17" x14ac:dyDescent="0.25">
      <c r="A144" s="20" t="s">
        <v>263</v>
      </c>
      <c r="B144" s="20" t="s">
        <v>38</v>
      </c>
      <c r="C144" s="20" t="s">
        <v>25</v>
      </c>
      <c r="D144" s="20" t="s">
        <v>301</v>
      </c>
      <c r="E144" s="28" t="s">
        <v>12</v>
      </c>
      <c r="F144" s="21">
        <v>42988</v>
      </c>
      <c r="G144" s="11">
        <f t="shared" si="4"/>
        <v>2017</v>
      </c>
      <c r="H144" s="23">
        <v>4</v>
      </c>
      <c r="I144" s="20" t="s">
        <v>18</v>
      </c>
      <c r="J144" s="20" t="s">
        <v>14</v>
      </c>
      <c r="P144"/>
      <c r="Q144"/>
    </row>
    <row r="145" spans="1:17" x14ac:dyDescent="0.25">
      <c r="A145" s="20" t="s">
        <v>264</v>
      </c>
      <c r="B145" s="20" t="s">
        <v>29</v>
      </c>
      <c r="C145" s="20" t="s">
        <v>39</v>
      </c>
      <c r="D145" s="20" t="s">
        <v>301</v>
      </c>
      <c r="E145" s="28">
        <v>66882</v>
      </c>
      <c r="F145" s="21">
        <v>42995</v>
      </c>
      <c r="G145" s="11">
        <f t="shared" si="4"/>
        <v>2017</v>
      </c>
      <c r="H145" s="23">
        <v>5</v>
      </c>
      <c r="I145" s="20" t="s">
        <v>18</v>
      </c>
      <c r="J145" s="20" t="s">
        <v>81</v>
      </c>
      <c r="P145"/>
      <c r="Q145"/>
    </row>
    <row r="146" spans="1:17" x14ac:dyDescent="0.25">
      <c r="A146" s="20" t="s">
        <v>265</v>
      </c>
      <c r="B146" s="20" t="s">
        <v>21</v>
      </c>
      <c r="C146" s="20" t="s">
        <v>39</v>
      </c>
      <c r="D146" s="20" t="s">
        <v>10</v>
      </c>
      <c r="E146" s="28">
        <v>86775</v>
      </c>
      <c r="F146" s="21">
        <v>43002</v>
      </c>
      <c r="G146" s="11">
        <f t="shared" si="4"/>
        <v>2017</v>
      </c>
      <c r="H146" s="23">
        <v>3</v>
      </c>
      <c r="I146" s="20" t="s">
        <v>18</v>
      </c>
      <c r="J146" s="20" t="s">
        <v>91</v>
      </c>
      <c r="P146"/>
      <c r="Q146"/>
    </row>
    <row r="147" spans="1:17" x14ac:dyDescent="0.25">
      <c r="A147" s="20" t="s">
        <v>266</v>
      </c>
      <c r="B147" s="20" t="s">
        <v>38</v>
      </c>
      <c r="C147" s="20" t="s">
        <v>25</v>
      </c>
      <c r="D147" s="20" t="s">
        <v>302</v>
      </c>
      <c r="E147" s="28">
        <v>91620</v>
      </c>
      <c r="F147" s="21">
        <v>43009</v>
      </c>
      <c r="G147" s="11">
        <f t="shared" si="4"/>
        <v>2017</v>
      </c>
      <c r="H147" s="22" t="s">
        <v>10</v>
      </c>
      <c r="I147" s="20" t="s">
        <v>10</v>
      </c>
      <c r="J147" s="20" t="s">
        <v>267</v>
      </c>
      <c r="P147"/>
      <c r="Q147"/>
    </row>
    <row r="148" spans="1:17" x14ac:dyDescent="0.25">
      <c r="A148" s="20" t="s">
        <v>268</v>
      </c>
      <c r="B148" s="20" t="s">
        <v>16</v>
      </c>
      <c r="C148" s="20" t="s">
        <v>10</v>
      </c>
      <c r="D148" s="20" t="s">
        <v>10</v>
      </c>
      <c r="E148" s="28">
        <v>94148</v>
      </c>
      <c r="F148" s="21">
        <v>43016</v>
      </c>
      <c r="G148" s="11">
        <f t="shared" si="4"/>
        <v>2017</v>
      </c>
      <c r="H148" s="23">
        <v>2</v>
      </c>
      <c r="I148" s="20" t="s">
        <v>10</v>
      </c>
      <c r="J148" s="20" t="s">
        <v>269</v>
      </c>
      <c r="P148"/>
      <c r="Q148"/>
    </row>
    <row r="149" spans="1:17" x14ac:dyDescent="0.25">
      <c r="A149" s="20" t="s">
        <v>270</v>
      </c>
      <c r="B149" s="20" t="s">
        <v>36</v>
      </c>
      <c r="C149" s="20" t="s">
        <v>25</v>
      </c>
      <c r="D149" s="20" t="s">
        <v>60</v>
      </c>
      <c r="E149" s="28">
        <v>35627</v>
      </c>
      <c r="F149" s="21">
        <v>43023</v>
      </c>
      <c r="G149" s="11">
        <f t="shared" si="4"/>
        <v>2017</v>
      </c>
      <c r="H149" s="23">
        <v>5</v>
      </c>
      <c r="I149" s="20" t="s">
        <v>33</v>
      </c>
      <c r="J149" s="20" t="s">
        <v>254</v>
      </c>
      <c r="P149"/>
      <c r="Q149"/>
    </row>
    <row r="150" spans="1:17" x14ac:dyDescent="0.25">
      <c r="A150" s="20" t="s">
        <v>271</v>
      </c>
      <c r="B150" s="20" t="s">
        <v>24</v>
      </c>
      <c r="C150" s="20" t="s">
        <v>39</v>
      </c>
      <c r="D150" s="20" t="s">
        <v>301</v>
      </c>
      <c r="E150" s="28">
        <v>57141</v>
      </c>
      <c r="F150" s="21">
        <v>43030</v>
      </c>
      <c r="G150" s="11">
        <f t="shared" si="4"/>
        <v>2017</v>
      </c>
      <c r="H150" s="23">
        <v>2</v>
      </c>
      <c r="I150" s="20" t="s">
        <v>10</v>
      </c>
      <c r="J150" s="20" t="s">
        <v>260</v>
      </c>
      <c r="P150"/>
      <c r="Q150"/>
    </row>
    <row r="151" spans="1:17" x14ac:dyDescent="0.25">
      <c r="A151" s="20" t="s">
        <v>272</v>
      </c>
      <c r="B151" s="20" t="s">
        <v>50</v>
      </c>
      <c r="C151" s="20" t="s">
        <v>25</v>
      </c>
      <c r="D151" s="20" t="s">
        <v>60</v>
      </c>
      <c r="E151" s="28">
        <v>65270</v>
      </c>
      <c r="F151" s="21">
        <v>43037</v>
      </c>
      <c r="G151" s="11">
        <f t="shared" si="4"/>
        <v>2017</v>
      </c>
      <c r="H151" s="23">
        <v>1</v>
      </c>
      <c r="I151" s="20" t="s">
        <v>10</v>
      </c>
      <c r="J151" s="20" t="s">
        <v>273</v>
      </c>
      <c r="P151"/>
      <c r="Q151"/>
    </row>
    <row r="152" spans="1:17" x14ac:dyDescent="0.25">
      <c r="A152" s="20" t="s">
        <v>274</v>
      </c>
      <c r="B152" s="20" t="s">
        <v>50</v>
      </c>
      <c r="C152" s="20" t="s">
        <v>10</v>
      </c>
      <c r="D152" s="20" t="s">
        <v>302</v>
      </c>
      <c r="E152" s="28">
        <v>67335</v>
      </c>
      <c r="F152" s="21">
        <v>43044</v>
      </c>
      <c r="G152" s="11">
        <f t="shared" si="4"/>
        <v>2017</v>
      </c>
      <c r="H152" s="23">
        <v>1</v>
      </c>
      <c r="I152" s="20" t="s">
        <v>18</v>
      </c>
      <c r="J152" s="20" t="s">
        <v>140</v>
      </c>
      <c r="P152"/>
      <c r="Q152"/>
    </row>
    <row r="153" spans="1:17" x14ac:dyDescent="0.25">
      <c r="A153" s="20" t="s">
        <v>275</v>
      </c>
      <c r="B153" s="20" t="s">
        <v>36</v>
      </c>
      <c r="C153" s="20" t="s">
        <v>39</v>
      </c>
      <c r="D153" s="20" t="s">
        <v>32</v>
      </c>
      <c r="E153" s="28">
        <v>98475</v>
      </c>
      <c r="F153" s="21">
        <v>43051</v>
      </c>
      <c r="G153" s="11">
        <f t="shared" si="4"/>
        <v>2017</v>
      </c>
      <c r="H153" s="23">
        <v>5</v>
      </c>
      <c r="I153" s="20" t="s">
        <v>18</v>
      </c>
      <c r="J153" s="20" t="s">
        <v>276</v>
      </c>
      <c r="P153"/>
      <c r="Q153"/>
    </row>
  </sheetData>
  <mergeCells count="1">
    <mergeCell ref="A1:J2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652F-55A5-483F-9A54-FBCBE36A4283}">
  <dimension ref="A1:X153"/>
  <sheetViews>
    <sheetView tabSelected="1" topLeftCell="C1" workbookViewId="0">
      <selection activeCell="O2" sqref="O2:S3"/>
    </sheetView>
  </sheetViews>
  <sheetFormatPr defaultRowHeight="15" x14ac:dyDescent="0.25"/>
  <cols>
    <col min="1" max="1" width="17.140625" customWidth="1"/>
    <col min="2" max="2" width="15.42578125" customWidth="1"/>
    <col min="3" max="3" width="17.140625" customWidth="1"/>
    <col min="4" max="4" width="13.7109375" customWidth="1"/>
    <col min="5" max="5" width="14" customWidth="1"/>
    <col min="6" max="6" width="19.140625" bestFit="1" customWidth="1"/>
    <col min="7" max="7" width="17.85546875" bestFit="1" customWidth="1"/>
    <col min="8" max="8" width="14" customWidth="1"/>
    <col min="9" max="9" width="26.140625" customWidth="1"/>
    <col min="11" max="11" width="19" bestFit="1" customWidth="1"/>
    <col min="13" max="14" width="9.5703125" customWidth="1"/>
    <col min="15" max="15" width="10.85546875" customWidth="1"/>
    <col min="16" max="16" width="14.42578125" customWidth="1"/>
    <col min="21" max="21" width="19.140625" customWidth="1"/>
    <col min="22" max="22" width="19.7109375" customWidth="1"/>
  </cols>
  <sheetData>
    <row r="1" spans="1:23" ht="40.5" customHeight="1" x14ac:dyDescent="0.25">
      <c r="A1" s="146" t="s">
        <v>332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7"/>
    </row>
    <row r="2" spans="1:23" ht="21.75" customHeight="1" x14ac:dyDescent="0.25">
      <c r="A2" s="127" t="s">
        <v>331</v>
      </c>
      <c r="B2" s="127"/>
      <c r="C2" s="127"/>
      <c r="D2" s="127"/>
      <c r="E2" s="127"/>
      <c r="F2" s="127"/>
      <c r="G2" s="127"/>
      <c r="H2" s="127"/>
      <c r="I2" s="127"/>
      <c r="J2" s="7"/>
      <c r="K2" s="131" t="s">
        <v>318</v>
      </c>
      <c r="L2" s="132"/>
      <c r="M2" s="133"/>
      <c r="O2" s="134" t="s">
        <v>328</v>
      </c>
      <c r="P2" s="128"/>
      <c r="Q2" s="128"/>
      <c r="R2" s="128"/>
      <c r="S2" s="137"/>
      <c r="U2" s="134" t="s">
        <v>315</v>
      </c>
      <c r="V2" s="137"/>
    </row>
    <row r="3" spans="1:23" ht="31.5" customHeight="1" x14ac:dyDescent="0.25">
      <c r="A3" s="31" t="s">
        <v>0</v>
      </c>
      <c r="B3" s="31" t="s">
        <v>1</v>
      </c>
      <c r="C3" s="31" t="s">
        <v>2</v>
      </c>
      <c r="D3" s="31" t="s">
        <v>3</v>
      </c>
      <c r="E3" s="32" t="s">
        <v>4</v>
      </c>
      <c r="F3" s="33" t="s">
        <v>5</v>
      </c>
      <c r="G3" s="34" t="s">
        <v>6</v>
      </c>
      <c r="H3" s="31" t="s">
        <v>7</v>
      </c>
      <c r="I3" s="31" t="s">
        <v>8</v>
      </c>
      <c r="J3" s="117"/>
      <c r="K3" s="143"/>
      <c r="L3" s="144"/>
      <c r="M3" s="145"/>
      <c r="O3" s="135"/>
      <c r="P3" s="136"/>
      <c r="Q3" s="136"/>
      <c r="R3" s="136"/>
      <c r="S3" s="138"/>
      <c r="U3" s="135"/>
      <c r="V3" s="138"/>
    </row>
    <row r="4" spans="1:23" ht="15" customHeight="1" x14ac:dyDescent="0.25">
      <c r="A4" s="10" t="str">
        <f>Cleaned_Data4[[#This Row],[Employee ID]]</f>
        <v>EMP1000</v>
      </c>
      <c r="B4" s="10" t="str">
        <f>IF(Cleaned_Data4[[#This Row],[Names]]="","Un-known",Cleaned_Data4[[#This Row],[Names]])</f>
        <v>Un-known</v>
      </c>
      <c r="C4" s="10" t="str">
        <f>IF(Cleaned_Data4[[#This Row],[Department]]="","Un-known",Cleaned_Data4[[#This Row],[Department]])</f>
        <v>Finance</v>
      </c>
      <c r="D4" s="10" t="str">
        <f>IF(Cleaned_Data4[[#This Row],[Country]]="","Un-known",Cleaned_Data4[[#This Row],[Country]])</f>
        <v>Un-known</v>
      </c>
      <c r="E4" s="35" t="str">
        <f>IF(Cleaned_Data4[[#This Row],[Salary]]="N/A","0",Cleaned_Data4[[#This Row],[Salary]])</f>
        <v>0</v>
      </c>
      <c r="F4" s="36" t="str">
        <f>IF(Cleaned_Data4[[#This Row],[Date of Joining]]="","Un-known",Cleaned_Data4[[#This Row],[Date of Joining]])</f>
        <v>Un-known</v>
      </c>
      <c r="G4" s="39">
        <f>IF(Cleaned_Data4[[#This Row],[Performance Rating]]="","N/A",Cleaned_Data4[[#This Row],[Performance Rating]])</f>
        <v>2</v>
      </c>
      <c r="H4" s="10" t="str">
        <f>IF(Cleaned_Data4[[#This Row],[Gender]]="","Un-known",Cleaned_Data4[[#This Row],[Gender]])</f>
        <v>Unknown</v>
      </c>
      <c r="I4" s="10" t="str">
        <f>IF(Cleaned_Data4[[#This Row],[Email]]="","invalid_email",Cleaned_Data4[[#This Row],[Email]])</f>
        <v>invalid_email</v>
      </c>
      <c r="K4" s="84" t="s">
        <v>284</v>
      </c>
      <c r="L4" s="84"/>
      <c r="M4" s="123">
        <f>COUNTA(Table47[Employee ID])</f>
        <v>150</v>
      </c>
      <c r="O4" s="51" t="s">
        <v>327</v>
      </c>
      <c r="P4" s="51"/>
      <c r="Q4" s="51"/>
      <c r="R4" s="51"/>
      <c r="S4" s="51"/>
      <c r="U4" s="129" t="s">
        <v>316</v>
      </c>
      <c r="V4" s="129" t="s">
        <v>317</v>
      </c>
    </row>
    <row r="5" spans="1:23" x14ac:dyDescent="0.25">
      <c r="A5" s="10" t="str">
        <f>Cleaned_Data4[[#This Row],[Employee ID]]</f>
        <v>EMP1001</v>
      </c>
      <c r="B5" s="10" t="str">
        <f>IF(Cleaned_Data4[[#This Row],[Names]]="","Un-known",Cleaned_Data4[[#This Row],[Names]])</f>
        <v>Eve Adams</v>
      </c>
      <c r="C5" s="10" t="str">
        <f>IF(Cleaned_Data4[[#This Row],[Department]]="","Un-known",Cleaned_Data4[[#This Row],[Department]])</f>
        <v>HR</v>
      </c>
      <c r="D5" s="10" t="str">
        <f>IF(Cleaned_Data4[[#This Row],[Country]]="","Un-known",Cleaned_Data4[[#This Row],[Country]])</f>
        <v>Germany</v>
      </c>
      <c r="E5" s="35">
        <f>IF(Cleaned_Data4[[#This Row],[Salary]]="N/A","0",Cleaned_Data4[[#This Row],[Salary]])</f>
        <v>54255</v>
      </c>
      <c r="F5" s="36">
        <f>IF(Cleaned_Data4[[#This Row],[Date of Joining]]="","Un-known",Cleaned_Data4[[#This Row],[Date of Joining]])</f>
        <v>42015</v>
      </c>
      <c r="G5" s="39">
        <f>IF(Cleaned_Data4[[#This Row],[Performance Rating]]="","N/A",Cleaned_Data4[[#This Row],[Performance Rating]])</f>
        <v>1</v>
      </c>
      <c r="H5" s="10" t="str">
        <f>IF(Cleaned_Data4[[#This Row],[Gender]]="","Un-known",Cleaned_Data4[[#This Row],[Gender]])</f>
        <v>Other</v>
      </c>
      <c r="I5" s="10" t="str">
        <f>IF(Cleaned_Data4[[#This Row],[Email]]="","invalid_email",Cleaned_Data4[[#This Row],[Email]])</f>
        <v>user106@example.com</v>
      </c>
      <c r="J5" s="117"/>
      <c r="T5" s="118"/>
      <c r="U5" s="130"/>
      <c r="V5" s="130"/>
      <c r="W5" s="117"/>
    </row>
    <row r="6" spans="1:23" ht="13.5" customHeight="1" x14ac:dyDescent="0.25">
      <c r="A6" s="10" t="str">
        <f>Cleaned_Data4[[#This Row],[Employee ID]]</f>
        <v>EMP1002</v>
      </c>
      <c r="B6" s="10" t="str">
        <f>IF(Cleaned_Data4[[#This Row],[Names]]="","Un-known",Cleaned_Data4[[#This Row],[Names]])</f>
        <v>Alice Brown</v>
      </c>
      <c r="C6" s="10" t="str">
        <f>IF(Cleaned_Data4[[#This Row],[Department]]="","Un-known",Cleaned_Data4[[#This Row],[Department]])</f>
        <v>Finance</v>
      </c>
      <c r="D6" s="10" t="str">
        <f>IF(Cleaned_Data4[[#This Row],[Country]]="","Un-known",Cleaned_Data4[[#This Row],[Country]])</f>
        <v>Germany</v>
      </c>
      <c r="E6" s="35">
        <f>IF(Cleaned_Data4[[#This Row],[Salary]]="N/A","0",Cleaned_Data4[[#This Row],[Salary]])</f>
        <v>63184</v>
      </c>
      <c r="F6" s="36">
        <f>IF(Cleaned_Data4[[#This Row],[Date of Joining]]="","Un-known",Cleaned_Data4[[#This Row],[Date of Joining]])</f>
        <v>42022</v>
      </c>
      <c r="G6" s="39">
        <f>IF(Cleaned_Data4[[#This Row],[Performance Rating]]="","N/A",Cleaned_Data4[[#This Row],[Performance Rating]])</f>
        <v>2</v>
      </c>
      <c r="H6" s="10" t="str">
        <f>IF(Cleaned_Data4[[#This Row],[Gender]]="","Un-known",Cleaned_Data4[[#This Row],[Gender]])</f>
        <v>Un-known</v>
      </c>
      <c r="I6" s="10" t="str">
        <f>IF(Cleaned_Data4[[#This Row],[Email]]="","invalid_email",Cleaned_Data4[[#This Row],[Email]])</f>
        <v>user176@example.com</v>
      </c>
      <c r="K6" s="89" t="s">
        <v>296</v>
      </c>
      <c r="L6" s="90"/>
      <c r="M6" s="91"/>
      <c r="N6" s="37"/>
      <c r="T6" s="118"/>
      <c r="U6" s="120" t="s">
        <v>1</v>
      </c>
      <c r="V6" s="112" t="s">
        <v>313</v>
      </c>
      <c r="W6" s="117"/>
    </row>
    <row r="7" spans="1:23" x14ac:dyDescent="0.25">
      <c r="A7" s="10" t="str">
        <f>Cleaned_Data4[[#This Row],[Employee ID]]</f>
        <v>EMP1003</v>
      </c>
      <c r="B7" s="10" t="str">
        <f>IF(Cleaned_Data4[[#This Row],[Names]]="","Un-known",Cleaned_Data4[[#This Row],[Names]])</f>
        <v>John Doe</v>
      </c>
      <c r="C7" s="10" t="str">
        <f>IF(Cleaned_Data4[[#This Row],[Department]]="","Un-known",Cleaned_Data4[[#This Row],[Department]])</f>
        <v>Sales</v>
      </c>
      <c r="D7" s="10" t="str">
        <f>IF(Cleaned_Data4[[#This Row],[Country]]="","Un-known",Cleaned_Data4[[#This Row],[Country]])</f>
        <v>USA</v>
      </c>
      <c r="E7" s="35">
        <f>IF(Cleaned_Data4[[#This Row],[Salary]]="N/A","0",Cleaned_Data4[[#This Row],[Salary]])</f>
        <v>94406</v>
      </c>
      <c r="F7" s="36">
        <f>IF(Cleaned_Data4[[#This Row],[Date of Joining]]="","Un-known",Cleaned_Data4[[#This Row],[Date of Joining]])</f>
        <v>42029</v>
      </c>
      <c r="G7" s="39">
        <f>IF(Cleaned_Data4[[#This Row],[Performance Rating]]="","N/A",Cleaned_Data4[[#This Row],[Performance Rating]])</f>
        <v>1</v>
      </c>
      <c r="H7" s="10" t="str">
        <f>IF(Cleaned_Data4[[#This Row],[Gender]]="","Un-known",Cleaned_Data4[[#This Row],[Gender]])</f>
        <v>Male</v>
      </c>
      <c r="I7" s="10" t="str">
        <f>IF(Cleaned_Data4[[#This Row],[Email]]="","invalid_email",Cleaned_Data4[[#This Row],[Email]])</f>
        <v>user168@example.com</v>
      </c>
      <c r="K7" s="92"/>
      <c r="L7" s="93"/>
      <c r="M7" s="94"/>
      <c r="N7" s="37"/>
      <c r="U7" s="6" t="s">
        <v>2</v>
      </c>
      <c r="V7" s="112" t="s">
        <v>313</v>
      </c>
    </row>
    <row r="8" spans="1:23" x14ac:dyDescent="0.25">
      <c r="A8" s="10" t="str">
        <f>Cleaned_Data4[[#This Row],[Employee ID]]</f>
        <v>EMP1004</v>
      </c>
      <c r="B8" s="10" t="str">
        <f>IF(Cleaned_Data4[[#This Row],[Names]]="","Un-known",Cleaned_Data4[[#This Row],[Names]])</f>
        <v>Jane Smith</v>
      </c>
      <c r="C8" s="10" t="str">
        <f>IF(Cleaned_Data4[[#This Row],[Department]]="","Un-known",Cleaned_Data4[[#This Row],[Department]])</f>
        <v>Sales</v>
      </c>
      <c r="D8" s="10" t="str">
        <f>IF(Cleaned_Data4[[#This Row],[Country]]="","Un-known",Cleaned_Data4[[#This Row],[Country]])</f>
        <v>Germany</v>
      </c>
      <c r="E8" s="35">
        <f>IF(Cleaned_Data4[[#This Row],[Salary]]="N/A","0",Cleaned_Data4[[#This Row],[Salary]])</f>
        <v>64120</v>
      </c>
      <c r="F8" s="36">
        <f>IF(Cleaned_Data4[[#This Row],[Date of Joining]]="","Un-known",Cleaned_Data4[[#This Row],[Date of Joining]])</f>
        <v>42036</v>
      </c>
      <c r="G8" s="39">
        <f>IF(Cleaned_Data4[[#This Row],[Performance Rating]]="","N/A",Cleaned_Data4[[#This Row],[Performance Rating]])</f>
        <v>1</v>
      </c>
      <c r="H8" s="10" t="str">
        <f>IF(Cleaned_Data4[[#This Row],[Gender]]="","Un-known",Cleaned_Data4[[#This Row],[Gender]])</f>
        <v>Male</v>
      </c>
      <c r="I8" s="10" t="str">
        <f>IF(Cleaned_Data4[[#This Row],[Email]]="","invalid_email",Cleaned_Data4[[#This Row],[Email]])</f>
        <v>user49@example.com</v>
      </c>
      <c r="K8" s="88" t="s">
        <v>277</v>
      </c>
      <c r="L8" s="62" t="s">
        <v>278</v>
      </c>
      <c r="M8" s="62"/>
      <c r="O8" s="42"/>
      <c r="P8" s="42"/>
      <c r="Q8" s="42"/>
      <c r="R8" s="42"/>
      <c r="S8" s="42"/>
      <c r="U8" s="120" t="s">
        <v>3</v>
      </c>
      <c r="V8" s="13" t="s">
        <v>313</v>
      </c>
    </row>
    <row r="9" spans="1:23" x14ac:dyDescent="0.25">
      <c r="A9" s="10" t="str">
        <f>Cleaned_Data4[[#This Row],[Employee ID]]</f>
        <v>EMP1005</v>
      </c>
      <c r="B9" s="10" t="str">
        <f>IF(Cleaned_Data4[[#This Row],[Names]]="","Un-known",Cleaned_Data4[[#This Row],[Names]])</f>
        <v>Alice Brown</v>
      </c>
      <c r="C9" s="10" t="str">
        <f>IF(Cleaned_Data4[[#This Row],[Department]]="","Un-known",Cleaned_Data4[[#This Row],[Department]])</f>
        <v>IT</v>
      </c>
      <c r="D9" s="10" t="str">
        <f>IF(Cleaned_Data4[[#This Row],[Country]]="","Un-known",Cleaned_Data4[[#This Row],[Country]])</f>
        <v>India</v>
      </c>
      <c r="E9" s="35">
        <f>IF(Cleaned_Data4[[#This Row],[Salary]]="N/A","0",Cleaned_Data4[[#This Row],[Salary]])</f>
        <v>78421</v>
      </c>
      <c r="F9" s="36">
        <f>IF(Cleaned_Data4[[#This Row],[Date of Joining]]="","Un-known",Cleaned_Data4[[#This Row],[Date of Joining]])</f>
        <v>42043</v>
      </c>
      <c r="G9" s="39">
        <f>IF(Cleaned_Data4[[#This Row],[Performance Rating]]="","N/A",Cleaned_Data4[[#This Row],[Performance Rating]])</f>
        <v>2</v>
      </c>
      <c r="H9" s="10" t="str">
        <f>IF(Cleaned_Data4[[#This Row],[Gender]]="","Un-known",Cleaned_Data4[[#This Row],[Gender]])</f>
        <v>Female</v>
      </c>
      <c r="I9" s="10" t="str">
        <f>IF(Cleaned_Data4[[#This Row],[Email]]="","invalid_email",Cleaned_Data4[[#This Row],[Email]])</f>
        <v>user24@example.com</v>
      </c>
      <c r="K9" s="59"/>
      <c r="L9" s="87"/>
      <c r="M9" s="87"/>
      <c r="O9" s="49" t="s">
        <v>319</v>
      </c>
      <c r="P9" s="49"/>
      <c r="Q9" s="49"/>
      <c r="R9" s="49"/>
      <c r="S9" s="49"/>
      <c r="U9" s="121" t="s">
        <v>4</v>
      </c>
      <c r="V9" s="40">
        <v>0</v>
      </c>
    </row>
    <row r="10" spans="1:23" x14ac:dyDescent="0.25">
      <c r="A10" s="10" t="str">
        <f>Cleaned_Data4[[#This Row],[Employee ID]]</f>
        <v>EMP1006</v>
      </c>
      <c r="B10" s="10" t="str">
        <f>IF(Cleaned_Data4[[#This Row],[Names]]="","Un-known",Cleaned_Data4[[#This Row],[Names]])</f>
        <v>Sam Wilson</v>
      </c>
      <c r="C10" s="10" t="str">
        <f>IF(Cleaned_Data4[[#This Row],[Department]]="","Un-known",Cleaned_Data4[[#This Row],[Department]])</f>
        <v>Sales</v>
      </c>
      <c r="D10" s="10" t="str">
        <f>IF(Cleaned_Data4[[#This Row],[Country]]="","Un-known",Cleaned_Data4[[#This Row],[Country]])</f>
        <v>Un-known</v>
      </c>
      <c r="E10" s="35">
        <f>IF(Cleaned_Data4[[#This Row],[Salary]]="N/A","0",Cleaned_Data4[[#This Row],[Salary]])</f>
        <v>67721</v>
      </c>
      <c r="F10" s="36">
        <f>IF(Cleaned_Data4[[#This Row],[Date of Joining]]="","Un-known",Cleaned_Data4[[#This Row],[Date of Joining]])</f>
        <v>42050</v>
      </c>
      <c r="G10" s="39" t="str">
        <f>IF(Cleaned_Data4[[#This Row],[Performance Rating]]="","N/A",Cleaned_Data4[[#This Row],[Performance Rating]])</f>
        <v>N/A</v>
      </c>
      <c r="H10" s="10" t="str">
        <f>IF(Cleaned_Data4[[#This Row],[Gender]]="","Un-known",Cleaned_Data4[[#This Row],[Gender]])</f>
        <v>Male</v>
      </c>
      <c r="I10" s="10" t="str">
        <f>IF(Cleaned_Data4[[#This Row],[Email]]="","invalid_email",Cleaned_Data4[[#This Row],[Email]])</f>
        <v>user168@example.com</v>
      </c>
      <c r="K10" s="6" t="str" cm="1">
        <f t="array" ref="K10:K15">_xlfn.UNIQUE(Cleaned_Data4[Department])</f>
        <v>Finance</v>
      </c>
      <c r="L10" s="83">
        <f>COUNTIF('Raw data for day3'!C4:C153,K10)</f>
        <v>22</v>
      </c>
      <c r="M10" s="64"/>
      <c r="O10" s="49"/>
      <c r="P10" s="49"/>
      <c r="Q10" s="49"/>
      <c r="R10" s="49"/>
      <c r="S10" s="49"/>
      <c r="U10" s="121" t="s">
        <v>5</v>
      </c>
      <c r="V10" s="112" t="s">
        <v>313</v>
      </c>
    </row>
    <row r="11" spans="1:23" ht="15" customHeight="1" x14ac:dyDescent="0.25">
      <c r="A11" s="10" t="str">
        <f>Cleaned_Data4[[#This Row],[Employee ID]]</f>
        <v>EMP1007</v>
      </c>
      <c r="B11" s="10" t="str">
        <f>IF(Cleaned_Data4[[#This Row],[Names]]="","Un-known",Cleaned_Data4[[#This Row],[Names]])</f>
        <v>Chris Lee</v>
      </c>
      <c r="C11" s="10" t="str">
        <f>IF(Cleaned_Data4[[#This Row],[Department]]="","Un-known",Cleaned_Data4[[#This Row],[Department]])</f>
        <v>Marketing</v>
      </c>
      <c r="D11" s="10" t="str">
        <f>IF(Cleaned_Data4[[#This Row],[Country]]="","Un-known",Cleaned_Data4[[#This Row],[Country]])</f>
        <v>Un-known</v>
      </c>
      <c r="E11" s="35">
        <f>IF(Cleaned_Data4[[#This Row],[Salary]]="N/A","0",Cleaned_Data4[[#This Row],[Salary]])</f>
        <v>35364</v>
      </c>
      <c r="F11" s="36">
        <f>IF(Cleaned_Data4[[#This Row],[Date of Joining]]="","Un-known",Cleaned_Data4[[#This Row],[Date of Joining]])</f>
        <v>42057</v>
      </c>
      <c r="G11" s="39">
        <f>IF(Cleaned_Data4[[#This Row],[Performance Rating]]="","N/A",Cleaned_Data4[[#This Row],[Performance Rating]])</f>
        <v>2</v>
      </c>
      <c r="H11" s="10" t="str">
        <f>IF(Cleaned_Data4[[#This Row],[Gender]]="","Un-known",Cleaned_Data4[[#This Row],[Gender]])</f>
        <v>Other</v>
      </c>
      <c r="I11" s="10" t="str">
        <f>IF(Cleaned_Data4[[#This Row],[Email]]="","invalid_email",Cleaned_Data4[[#This Row],[Email]])</f>
        <v>user26@example.com</v>
      </c>
      <c r="K11" s="7" t="str">
        <v>HR</v>
      </c>
      <c r="L11" s="65">
        <f>COUNTIF('Raw data for day3'!$C$4:$C$153,K11)</f>
        <v>24</v>
      </c>
      <c r="M11" s="66"/>
      <c r="O11" s="49" t="s">
        <v>312</v>
      </c>
      <c r="P11" s="49"/>
      <c r="Q11" s="49"/>
      <c r="R11" s="49"/>
      <c r="S11" s="49"/>
      <c r="U11" s="121" t="s">
        <v>6</v>
      </c>
      <c r="V11" s="13" t="s">
        <v>12</v>
      </c>
    </row>
    <row r="12" spans="1:23" ht="15" customHeight="1" x14ac:dyDescent="0.25">
      <c r="A12" s="10" t="str">
        <f>Cleaned_Data4[[#This Row],[Employee ID]]</f>
        <v>EMP1008</v>
      </c>
      <c r="B12" s="10" t="str">
        <f>IF(Cleaned_Data4[[#This Row],[Names]]="","Un-known",Cleaned_Data4[[#This Row],[Names]])</f>
        <v>Alice Brown</v>
      </c>
      <c r="C12" s="10" t="str">
        <f>IF(Cleaned_Data4[[#This Row],[Department]]="","Un-known",Cleaned_Data4[[#This Row],[Department]])</f>
        <v>IT</v>
      </c>
      <c r="D12" s="10" t="str">
        <f>IF(Cleaned_Data4[[#This Row],[Country]]="","Un-known",Cleaned_Data4[[#This Row],[Country]])</f>
        <v>Germany</v>
      </c>
      <c r="E12" s="35">
        <f>IF(Cleaned_Data4[[#This Row],[Salary]]="N/A","0",Cleaned_Data4[[#This Row],[Salary]])</f>
        <v>97881</v>
      </c>
      <c r="F12" s="36">
        <f>IF(Cleaned_Data4[[#This Row],[Date of Joining]]="","Un-known",Cleaned_Data4[[#This Row],[Date of Joining]])</f>
        <v>42064</v>
      </c>
      <c r="G12" s="39" t="str">
        <f>IF(Cleaned_Data4[[#This Row],[Performance Rating]]="","N/A",Cleaned_Data4[[#This Row],[Performance Rating]])</f>
        <v>N/A</v>
      </c>
      <c r="H12" s="10" t="str">
        <f>IF(Cleaned_Data4[[#This Row],[Gender]]="","Un-known",Cleaned_Data4[[#This Row],[Gender]])</f>
        <v>Female</v>
      </c>
      <c r="I12" s="10" t="str">
        <f>IF(Cleaned_Data4[[#This Row],[Email]]="","invalid_email",Cleaned_Data4[[#This Row],[Email]])</f>
        <v>user25@example.com</v>
      </c>
      <c r="K12" s="7" t="str">
        <v>Sales</v>
      </c>
      <c r="L12" s="65">
        <f>COUNTIF('Raw data for day3'!$C$4:$C$153,K12)</f>
        <v>26</v>
      </c>
      <c r="M12" s="66"/>
      <c r="O12" s="49"/>
      <c r="P12" s="49"/>
      <c r="Q12" s="49"/>
      <c r="R12" s="49"/>
      <c r="S12" s="49"/>
      <c r="U12" s="121" t="s">
        <v>7</v>
      </c>
      <c r="V12" s="40" t="s">
        <v>313</v>
      </c>
    </row>
    <row r="13" spans="1:23" x14ac:dyDescent="0.25">
      <c r="A13" s="10" t="str">
        <f>Cleaned_Data4[[#This Row],[Employee ID]]</f>
        <v>EMP1009</v>
      </c>
      <c r="B13" s="10" t="str">
        <f>IF(Cleaned_Data4[[#This Row],[Names]]="","Un-known",Cleaned_Data4[[#This Row],[Names]])</f>
        <v>Chris Lee</v>
      </c>
      <c r="C13" s="10" t="str">
        <f>IF(Cleaned_Data4[[#This Row],[Department]]="","Un-known",Cleaned_Data4[[#This Row],[Department]])</f>
        <v>HR</v>
      </c>
      <c r="D13" s="10" t="str">
        <f>IF(Cleaned_Data4[[#This Row],[Country]]="","Un-known",Cleaned_Data4[[#This Row],[Country]])</f>
        <v>UK</v>
      </c>
      <c r="E13" s="35">
        <f>IF(Cleaned_Data4[[#This Row],[Salary]]="N/A","0",Cleaned_Data4[[#This Row],[Salary]])</f>
        <v>91846</v>
      </c>
      <c r="F13" s="36">
        <f>IF(Cleaned_Data4[[#This Row],[Date of Joining]]="","Un-known",Cleaned_Data4[[#This Row],[Date of Joining]])</f>
        <v>42071</v>
      </c>
      <c r="G13" s="39" t="str">
        <f>IF(Cleaned_Data4[[#This Row],[Performance Rating]]="","N/A",Cleaned_Data4[[#This Row],[Performance Rating]])</f>
        <v>N/A</v>
      </c>
      <c r="H13" s="10" t="str">
        <f>IF(Cleaned_Data4[[#This Row],[Gender]]="","Un-known",Cleaned_Data4[[#This Row],[Gender]])</f>
        <v>Male</v>
      </c>
      <c r="I13" s="10" t="str">
        <f>IF(Cleaned_Data4[[#This Row],[Email]]="","invalid_email",Cleaned_Data4[[#This Row],[Email]])</f>
        <v>user153@example.com</v>
      </c>
      <c r="K13" s="7" t="str">
        <v>IT</v>
      </c>
      <c r="L13" s="69">
        <f>COUNTIF('Raw data for day3'!$C$4:$C$153,K13)</f>
        <v>25</v>
      </c>
      <c r="M13" s="66"/>
      <c r="O13" s="49" t="s">
        <v>311</v>
      </c>
      <c r="P13" s="49"/>
      <c r="Q13" s="49"/>
      <c r="R13" s="49"/>
      <c r="S13" s="49"/>
      <c r="U13" s="122" t="s">
        <v>8</v>
      </c>
      <c r="V13" s="125" t="s">
        <v>329</v>
      </c>
    </row>
    <row r="14" spans="1:23" x14ac:dyDescent="0.25">
      <c r="A14" s="10" t="str">
        <f>Cleaned_Data4[[#This Row],[Employee ID]]</f>
        <v>EMP1010</v>
      </c>
      <c r="B14" s="10" t="str">
        <f>IF(Cleaned_Data4[[#This Row],[Names]]="","Un-known",Cleaned_Data4[[#This Row],[Names]])</f>
        <v>Sam Wilson</v>
      </c>
      <c r="C14" s="10" t="str">
        <f>IF(Cleaned_Data4[[#This Row],[Department]]="","Un-known",Cleaned_Data4[[#This Row],[Department]])</f>
        <v>Finance</v>
      </c>
      <c r="D14" s="10" t="str">
        <f>IF(Cleaned_Data4[[#This Row],[Country]]="","Un-known",Cleaned_Data4[[#This Row],[Country]])</f>
        <v>UK</v>
      </c>
      <c r="E14" s="35">
        <f>IF(Cleaned_Data4[[#This Row],[Salary]]="N/A","0",Cleaned_Data4[[#This Row],[Salary]])</f>
        <v>64247</v>
      </c>
      <c r="F14" s="36">
        <f>IF(Cleaned_Data4[[#This Row],[Date of Joining]]="","Un-known",Cleaned_Data4[[#This Row],[Date of Joining]])</f>
        <v>42078</v>
      </c>
      <c r="G14" s="39">
        <f>IF(Cleaned_Data4[[#This Row],[Performance Rating]]="","N/A",Cleaned_Data4[[#This Row],[Performance Rating]])</f>
        <v>1</v>
      </c>
      <c r="H14" s="10" t="str">
        <f>IF(Cleaned_Data4[[#This Row],[Gender]]="","Un-known",Cleaned_Data4[[#This Row],[Gender]])</f>
        <v>Female</v>
      </c>
      <c r="I14" s="10" t="str">
        <f>IF(Cleaned_Data4[[#This Row],[Email]]="","invalid_email",Cleaned_Data4[[#This Row],[Email]])</f>
        <v>user18@example.com</v>
      </c>
      <c r="K14" s="7" t="str">
        <v>Marketing</v>
      </c>
      <c r="L14" s="65">
        <f>COUNTIF('Raw data for day3'!$C$4:$C$153,K14)</f>
        <v>29</v>
      </c>
      <c r="M14" s="66"/>
      <c r="O14" s="49"/>
      <c r="P14" s="49"/>
      <c r="Q14" s="49"/>
      <c r="R14" s="49"/>
      <c r="S14" s="49"/>
      <c r="U14" s="119" t="s">
        <v>314</v>
      </c>
      <c r="V14" s="126"/>
    </row>
    <row r="15" spans="1:23" ht="15" customHeight="1" x14ac:dyDescent="0.25">
      <c r="A15" s="10" t="str">
        <f>Cleaned_Data4[[#This Row],[Employee ID]]</f>
        <v>EMP1011</v>
      </c>
      <c r="B15" s="10" t="str">
        <f>IF(Cleaned_Data4[[#This Row],[Names]]="","Un-known",Cleaned_Data4[[#This Row],[Names]])</f>
        <v>Sam Wilson</v>
      </c>
      <c r="C15" s="10" t="str">
        <f>IF(Cleaned_Data4[[#This Row],[Department]]="","Un-known",Cleaned_Data4[[#This Row],[Department]])</f>
        <v>IT</v>
      </c>
      <c r="D15" s="10" t="str">
        <f>IF(Cleaned_Data4[[#This Row],[Country]]="","Un-known",Cleaned_Data4[[#This Row],[Country]])</f>
        <v>USA</v>
      </c>
      <c r="E15" s="35">
        <f>IF(Cleaned_Data4[[#This Row],[Salary]]="N/A","0",Cleaned_Data4[[#This Row],[Salary]])</f>
        <v>91180</v>
      </c>
      <c r="F15" s="36">
        <f>IF(Cleaned_Data4[[#This Row],[Date of Joining]]="","Un-known",Cleaned_Data4[[#This Row],[Date of Joining]])</f>
        <v>42085</v>
      </c>
      <c r="G15" s="39">
        <f>IF(Cleaned_Data4[[#This Row],[Performance Rating]]="","N/A",Cleaned_Data4[[#This Row],[Performance Rating]])</f>
        <v>5</v>
      </c>
      <c r="H15" s="10" t="str">
        <f>IF(Cleaned_Data4[[#This Row],[Gender]]="","Un-known",Cleaned_Data4[[#This Row],[Gender]])</f>
        <v>Male</v>
      </c>
      <c r="I15" s="10" t="str">
        <f>IF(Cleaned_Data4[[#This Row],[Email]]="","invalid_email",Cleaned_Data4[[#This Row],[Email]])</f>
        <v>user1@example.com</v>
      </c>
      <c r="K15" s="14" t="str">
        <v/>
      </c>
      <c r="L15" s="85">
        <f>COUNTIF('Raw data for day3'!$C$4:$C$153,K15)</f>
        <v>24</v>
      </c>
      <c r="M15" s="86"/>
      <c r="W15" s="124"/>
    </row>
    <row r="16" spans="1:23" ht="15" customHeight="1" x14ac:dyDescent="0.25">
      <c r="A16" s="10" t="str">
        <f>Cleaned_Data4[[#This Row],[Employee ID]]</f>
        <v>EMP1012</v>
      </c>
      <c r="B16" s="10" t="str">
        <f>IF(Cleaned_Data4[[#This Row],[Names]]="","Un-known",Cleaned_Data4[[#This Row],[Names]])</f>
        <v>Bob Johnson</v>
      </c>
      <c r="C16" s="10" t="str">
        <f>IF(Cleaned_Data4[[#This Row],[Department]]="","Un-known",Cleaned_Data4[[#This Row],[Department]])</f>
        <v>Sales</v>
      </c>
      <c r="D16" s="10" t="str">
        <f>IF(Cleaned_Data4[[#This Row],[Country]]="","Un-known",Cleaned_Data4[[#This Row],[Country]])</f>
        <v>Un-known</v>
      </c>
      <c r="E16" s="35">
        <f>IF(Cleaned_Data4[[#This Row],[Salary]]="N/A","0",Cleaned_Data4[[#This Row],[Salary]])</f>
        <v>96418</v>
      </c>
      <c r="F16" s="36">
        <f>IF(Cleaned_Data4[[#This Row],[Date of Joining]]="","Un-known",Cleaned_Data4[[#This Row],[Date of Joining]])</f>
        <v>42092</v>
      </c>
      <c r="G16" s="39">
        <f>IF(Cleaned_Data4[[#This Row],[Performance Rating]]="","N/A",Cleaned_Data4[[#This Row],[Performance Rating]])</f>
        <v>5</v>
      </c>
      <c r="H16" s="10" t="str">
        <f>IF(Cleaned_Data4[[#This Row],[Gender]]="","Un-known",Cleaned_Data4[[#This Row],[Gender]])</f>
        <v>Male</v>
      </c>
      <c r="I16" s="10" t="str">
        <f>IF(Cleaned_Data4[[#This Row],[Email]]="","invalid_email",Cleaned_Data4[[#This Row],[Email]])</f>
        <v>user106@example.com</v>
      </c>
      <c r="K16" s="38" t="s">
        <v>279</v>
      </c>
      <c r="L16" s="84">
        <f>SUM(L10:M15)</f>
        <v>150</v>
      </c>
      <c r="M16" s="84"/>
      <c r="W16" s="124"/>
    </row>
    <row r="17" spans="1:19" x14ac:dyDescent="0.25">
      <c r="A17" s="10" t="str">
        <f>Cleaned_Data4[[#This Row],[Employee ID]]</f>
        <v>EMP1013</v>
      </c>
      <c r="B17" s="10" t="str">
        <f>IF(Cleaned_Data4[[#This Row],[Names]]="","Un-known",Cleaned_Data4[[#This Row],[Names]])</f>
        <v>Sam Wilson</v>
      </c>
      <c r="C17" s="10" t="str">
        <f>IF(Cleaned_Data4[[#This Row],[Department]]="","Un-known",Cleaned_Data4[[#This Row],[Department]])</f>
        <v>Un-known</v>
      </c>
      <c r="D17" s="10" t="str">
        <f>IF(Cleaned_Data4[[#This Row],[Country]]="","Un-known",Cleaned_Data4[[#This Row],[Country]])</f>
        <v>India</v>
      </c>
      <c r="E17" s="35">
        <f>IF(Cleaned_Data4[[#This Row],[Salary]]="N/A","0",Cleaned_Data4[[#This Row],[Salary]])</f>
        <v>62158</v>
      </c>
      <c r="F17" s="36">
        <f>IF(Cleaned_Data4[[#This Row],[Date of Joining]]="","Un-known",Cleaned_Data4[[#This Row],[Date of Joining]])</f>
        <v>42099</v>
      </c>
      <c r="G17" s="39">
        <f>IF(Cleaned_Data4[[#This Row],[Performance Rating]]="","N/A",Cleaned_Data4[[#This Row],[Performance Rating]])</f>
        <v>4</v>
      </c>
      <c r="H17" s="10" t="str">
        <f>IF(Cleaned_Data4[[#This Row],[Gender]]="","Un-known",Cleaned_Data4[[#This Row],[Gender]])</f>
        <v>Un-known</v>
      </c>
      <c r="I17" s="10" t="str">
        <f>IF(Cleaned_Data4[[#This Row],[Email]]="","invalid_email",Cleaned_Data4[[#This Row],[Email]])</f>
        <v>user180@example.com</v>
      </c>
    </row>
    <row r="18" spans="1:19" x14ac:dyDescent="0.25">
      <c r="A18" s="10" t="str">
        <f>Cleaned_Data4[[#This Row],[Employee ID]]</f>
        <v>EMP1014</v>
      </c>
      <c r="B18" s="10" t="str">
        <f>IF(Cleaned_Data4[[#This Row],[Names]]="","Un-known",Cleaned_Data4[[#This Row],[Names]])</f>
        <v>Jane Smith</v>
      </c>
      <c r="C18" s="10" t="str">
        <f>IF(Cleaned_Data4[[#This Row],[Department]]="","Un-known",Cleaned_Data4[[#This Row],[Department]])</f>
        <v>HR</v>
      </c>
      <c r="D18" s="10" t="str">
        <f>IF(Cleaned_Data4[[#This Row],[Country]]="","Un-known",Cleaned_Data4[[#This Row],[Country]])</f>
        <v>Un-known</v>
      </c>
      <c r="E18" s="35">
        <f>IF(Cleaned_Data4[[#This Row],[Salary]]="N/A","0",Cleaned_Data4[[#This Row],[Salary]])</f>
        <v>59894</v>
      </c>
      <c r="F18" s="36">
        <f>IF(Cleaned_Data4[[#This Row],[Date of Joining]]="","Un-known",Cleaned_Data4[[#This Row],[Date of Joining]])</f>
        <v>42106</v>
      </c>
      <c r="G18" s="39">
        <f>IF(Cleaned_Data4[[#This Row],[Performance Rating]]="","N/A",Cleaned_Data4[[#This Row],[Performance Rating]])</f>
        <v>2</v>
      </c>
      <c r="H18" s="10" t="str">
        <f>IF(Cleaned_Data4[[#This Row],[Gender]]="","Un-known",Cleaned_Data4[[#This Row],[Gender]])</f>
        <v>Male</v>
      </c>
      <c r="I18" s="10" t="str">
        <f>IF(Cleaned_Data4[[#This Row],[Email]]="","invalid_email",Cleaned_Data4[[#This Row],[Email]])</f>
        <v>user184@example.com</v>
      </c>
    </row>
    <row r="19" spans="1:19" x14ac:dyDescent="0.25">
      <c r="A19" s="10" t="str">
        <f>Cleaned_Data4[[#This Row],[Employee ID]]</f>
        <v>EMP1015</v>
      </c>
      <c r="B19" s="10" t="str">
        <f>IF(Cleaned_Data4[[#This Row],[Names]]="","Un-known",Cleaned_Data4[[#This Row],[Names]])</f>
        <v>Un-known</v>
      </c>
      <c r="C19" s="10" t="str">
        <f>IF(Cleaned_Data4[[#This Row],[Department]]="","Un-known",Cleaned_Data4[[#This Row],[Department]])</f>
        <v>IT</v>
      </c>
      <c r="D19" s="10" t="str">
        <f>IF(Cleaned_Data4[[#This Row],[Country]]="","Un-known",Cleaned_Data4[[#This Row],[Country]])</f>
        <v>India</v>
      </c>
      <c r="E19" s="35">
        <f>IF(Cleaned_Data4[[#This Row],[Salary]]="N/A","0",Cleaned_Data4[[#This Row],[Salary]])</f>
        <v>92443</v>
      </c>
      <c r="F19" s="36">
        <f>IF(Cleaned_Data4[[#This Row],[Date of Joining]]="","Un-known",Cleaned_Data4[[#This Row],[Date of Joining]])</f>
        <v>42113</v>
      </c>
      <c r="G19" s="39">
        <f>IF(Cleaned_Data4[[#This Row],[Performance Rating]]="","N/A",Cleaned_Data4[[#This Row],[Performance Rating]])</f>
        <v>3</v>
      </c>
      <c r="H19" s="10" t="str">
        <f>IF(Cleaned_Data4[[#This Row],[Gender]]="","Un-known",Cleaned_Data4[[#This Row],[Gender]])</f>
        <v>Other</v>
      </c>
      <c r="I19" s="10" t="str">
        <f>IF(Cleaned_Data4[[#This Row],[Email]]="","invalid_email",Cleaned_Data4[[#This Row],[Email]])</f>
        <v>user3@example.com</v>
      </c>
      <c r="K19" s="89" t="s">
        <v>297</v>
      </c>
      <c r="L19" s="90"/>
      <c r="M19" s="91"/>
    </row>
    <row r="20" spans="1:19" x14ac:dyDescent="0.25">
      <c r="A20" s="10" t="str">
        <f>Cleaned_Data4[[#This Row],[Employee ID]]</f>
        <v>EMP1016</v>
      </c>
      <c r="B20" s="10" t="str">
        <f>IF(Cleaned_Data4[[#This Row],[Names]]="","Un-known",Cleaned_Data4[[#This Row],[Names]])</f>
        <v>Bob Johnson</v>
      </c>
      <c r="C20" s="10" t="str">
        <f>IF(Cleaned_Data4[[#This Row],[Department]]="","Un-known",Cleaned_Data4[[#This Row],[Department]])</f>
        <v>Un-known</v>
      </c>
      <c r="D20" s="10" t="str">
        <f>IF(Cleaned_Data4[[#This Row],[Country]]="","Un-known",Cleaned_Data4[[#This Row],[Country]])</f>
        <v>Germany</v>
      </c>
      <c r="E20" s="35">
        <f>IF(Cleaned_Data4[[#This Row],[Salary]]="N/A","0",Cleaned_Data4[[#This Row],[Salary]])</f>
        <v>90271</v>
      </c>
      <c r="F20" s="36">
        <f>IF(Cleaned_Data4[[#This Row],[Date of Joining]]="","Un-known",Cleaned_Data4[[#This Row],[Date of Joining]])</f>
        <v>42120</v>
      </c>
      <c r="G20" s="39" t="str">
        <f>IF(Cleaned_Data4[[#This Row],[Performance Rating]]="","N/A",Cleaned_Data4[[#This Row],[Performance Rating]])</f>
        <v>N/A</v>
      </c>
      <c r="H20" s="10" t="str">
        <f>IF(Cleaned_Data4[[#This Row],[Gender]]="","Un-known",Cleaned_Data4[[#This Row],[Gender]])</f>
        <v>Un-known</v>
      </c>
      <c r="I20" s="10" t="str">
        <f>IF(Cleaned_Data4[[#This Row],[Email]]="","invalid_email",Cleaned_Data4[[#This Row],[Email]])</f>
        <v>user64@example.com</v>
      </c>
      <c r="K20" s="92"/>
      <c r="L20" s="93"/>
      <c r="M20" s="94"/>
    </row>
    <row r="21" spans="1:19" x14ac:dyDescent="0.25">
      <c r="A21" s="10" t="str">
        <f>Cleaned_Data4[[#This Row],[Employee ID]]</f>
        <v>EMP1017</v>
      </c>
      <c r="B21" s="10" t="str">
        <f>IF(Cleaned_Data4[[#This Row],[Names]]="","Un-known",Cleaned_Data4[[#This Row],[Names]])</f>
        <v>Jane Smith</v>
      </c>
      <c r="C21" s="10" t="str">
        <f>IF(Cleaned_Data4[[#This Row],[Department]]="","Un-known",Cleaned_Data4[[#This Row],[Department]])</f>
        <v>Finance</v>
      </c>
      <c r="D21" s="10" t="str">
        <f>IF(Cleaned_Data4[[#This Row],[Country]]="","Un-known",Cleaned_Data4[[#This Row],[Country]])</f>
        <v>Australia</v>
      </c>
      <c r="E21" s="35">
        <f>IF(Cleaned_Data4[[#This Row],[Salary]]="N/A","0",Cleaned_Data4[[#This Row],[Salary]])</f>
        <v>41341</v>
      </c>
      <c r="F21" s="36">
        <f>IF(Cleaned_Data4[[#This Row],[Date of Joining]]="","Un-known",Cleaned_Data4[[#This Row],[Date of Joining]])</f>
        <v>42127</v>
      </c>
      <c r="G21" s="39">
        <f>IF(Cleaned_Data4[[#This Row],[Performance Rating]]="","N/A",Cleaned_Data4[[#This Row],[Performance Rating]])</f>
        <v>1</v>
      </c>
      <c r="H21" s="10" t="str">
        <f>IF(Cleaned_Data4[[#This Row],[Gender]]="","Un-known",Cleaned_Data4[[#This Row],[Gender]])</f>
        <v>Other</v>
      </c>
      <c r="I21" s="10" t="str">
        <f>IF(Cleaned_Data4[[#This Row],[Email]]="","invalid_email",Cleaned_Data4[[#This Row],[Email]])</f>
        <v>user38@example.com</v>
      </c>
      <c r="K21" s="88" t="s">
        <v>3</v>
      </c>
      <c r="L21" s="95" t="s">
        <v>283</v>
      </c>
      <c r="M21" s="96"/>
      <c r="N21" s="37"/>
      <c r="O21" s="42"/>
    </row>
    <row r="22" spans="1:19" x14ac:dyDescent="0.25">
      <c r="A22" s="10" t="str">
        <f>Cleaned_Data4[[#This Row],[Employee ID]]</f>
        <v>EMP1018</v>
      </c>
      <c r="B22" s="10" t="str">
        <f>IF(Cleaned_Data4[[#This Row],[Names]]="","Un-known",Cleaned_Data4[[#This Row],[Names]])</f>
        <v>Alice Brown</v>
      </c>
      <c r="C22" s="10" t="str">
        <f>IF(Cleaned_Data4[[#This Row],[Department]]="","Un-known",Cleaned_Data4[[#This Row],[Department]])</f>
        <v>Finance</v>
      </c>
      <c r="D22" s="10" t="str">
        <f>IF(Cleaned_Data4[[#This Row],[Country]]="","Un-known",Cleaned_Data4[[#This Row],[Country]])</f>
        <v>UK</v>
      </c>
      <c r="E22" s="35">
        <f>IF(Cleaned_Data4[[#This Row],[Salary]]="N/A","0",Cleaned_Data4[[#This Row],[Salary]])</f>
        <v>73602</v>
      </c>
      <c r="F22" s="36">
        <f>IF(Cleaned_Data4[[#This Row],[Date of Joining]]="","Un-known",Cleaned_Data4[[#This Row],[Date of Joining]])</f>
        <v>42134</v>
      </c>
      <c r="G22" s="39" t="str">
        <f>IF(Cleaned_Data4[[#This Row],[Performance Rating]]="","N/A",Cleaned_Data4[[#This Row],[Performance Rating]])</f>
        <v>N/A</v>
      </c>
      <c r="H22" s="10" t="str">
        <f>IF(Cleaned_Data4[[#This Row],[Gender]]="","Un-known",Cleaned_Data4[[#This Row],[Gender]])</f>
        <v>Un-known</v>
      </c>
      <c r="I22" s="10" t="str">
        <f>IF(Cleaned_Data4[[#This Row],[Email]]="","invalid_email",Cleaned_Data4[[#This Row],[Email]])</f>
        <v>user96@example.com</v>
      </c>
      <c r="K22" s="62"/>
      <c r="L22" s="60"/>
      <c r="M22" s="61"/>
      <c r="N22" s="37"/>
      <c r="O22" s="42"/>
    </row>
    <row r="23" spans="1:19" x14ac:dyDescent="0.25">
      <c r="A23" s="10" t="str">
        <f>Cleaned_Data4[[#This Row],[Employee ID]]</f>
        <v>EMP1019</v>
      </c>
      <c r="B23" s="10" t="str">
        <f>IF(Cleaned_Data4[[#This Row],[Names]]="","Un-known",Cleaned_Data4[[#This Row],[Names]])</f>
        <v>Eve Adams</v>
      </c>
      <c r="C23" s="10" t="str">
        <f>IF(Cleaned_Data4[[#This Row],[Department]]="","Un-known",Cleaned_Data4[[#This Row],[Department]])</f>
        <v>Un-known</v>
      </c>
      <c r="D23" s="10" t="str">
        <f>IF(Cleaned_Data4[[#This Row],[Country]]="","Un-known",Cleaned_Data4[[#This Row],[Country]])</f>
        <v>India</v>
      </c>
      <c r="E23" s="35">
        <f>IF(Cleaned_Data4[[#This Row],[Salary]]="N/A","0",Cleaned_Data4[[#This Row],[Salary]])</f>
        <v>67531</v>
      </c>
      <c r="F23" s="36">
        <f>IF(Cleaned_Data4[[#This Row],[Date of Joining]]="","Un-known",Cleaned_Data4[[#This Row],[Date of Joining]])</f>
        <v>42141</v>
      </c>
      <c r="G23" s="39">
        <f>IF(Cleaned_Data4[[#This Row],[Performance Rating]]="","N/A",Cleaned_Data4[[#This Row],[Performance Rating]])</f>
        <v>5</v>
      </c>
      <c r="H23" s="10" t="str">
        <f>IF(Cleaned_Data4[[#This Row],[Gender]]="","Un-known",Cleaned_Data4[[#This Row],[Gender]])</f>
        <v>Female</v>
      </c>
      <c r="I23" s="10" t="str">
        <f>IF(Cleaned_Data4[[#This Row],[Email]]="","invalid_email",Cleaned_Data4[[#This Row],[Email]])</f>
        <v>user151@example.com</v>
      </c>
      <c r="K23" s="114" t="str" cm="1">
        <f t="array" ref="K23:K28">_xlfn.UNIQUE(Cleaned_Data4[Country])</f>
        <v/>
      </c>
      <c r="L23" s="115">
        <f>COUNTIF('Raw data for day3'!$D$4:$D$153,K23)</f>
        <v>31</v>
      </c>
      <c r="M23" s="116"/>
      <c r="O23" s="51" t="s">
        <v>320</v>
      </c>
      <c r="P23" s="51"/>
      <c r="Q23" s="51"/>
      <c r="R23" s="51"/>
      <c r="S23" s="51"/>
    </row>
    <row r="24" spans="1:19" x14ac:dyDescent="0.25">
      <c r="A24" s="10" t="str">
        <f>Cleaned_Data4[[#This Row],[Employee ID]]</f>
        <v>EMP1020</v>
      </c>
      <c r="B24" s="10" t="str">
        <f>IF(Cleaned_Data4[[#This Row],[Names]]="","Un-known",Cleaned_Data4[[#This Row],[Names]])</f>
        <v>Jane Smith</v>
      </c>
      <c r="C24" s="10" t="str">
        <f>IF(Cleaned_Data4[[#This Row],[Department]]="","Un-known",Cleaned_Data4[[#This Row],[Department]])</f>
        <v>HR</v>
      </c>
      <c r="D24" s="10" t="str">
        <f>IF(Cleaned_Data4[[#This Row],[Country]]="","Un-known",Cleaned_Data4[[#This Row],[Country]])</f>
        <v>USA</v>
      </c>
      <c r="E24" s="35" t="str">
        <f>IF(Cleaned_Data4[[#This Row],[Salary]]="N/A","0",Cleaned_Data4[[#This Row],[Salary]])</f>
        <v>0</v>
      </c>
      <c r="F24" s="36">
        <f>IF(Cleaned_Data4[[#This Row],[Date of Joining]]="","Un-known",Cleaned_Data4[[#This Row],[Date of Joining]])</f>
        <v>42148</v>
      </c>
      <c r="G24" s="39">
        <f>IF(Cleaned_Data4[[#This Row],[Performance Rating]]="","N/A",Cleaned_Data4[[#This Row],[Performance Rating]])</f>
        <v>2</v>
      </c>
      <c r="H24" s="10" t="str">
        <f>IF(Cleaned_Data4[[#This Row],[Gender]]="","Un-known",Cleaned_Data4[[#This Row],[Gender]])</f>
        <v>Other</v>
      </c>
      <c r="I24" s="10" t="str">
        <f>IF(Cleaned_Data4[[#This Row],[Email]]="","invalid_email",Cleaned_Data4[[#This Row],[Email]])</f>
        <v>user200@example.com</v>
      </c>
      <c r="K24" s="7" t="str">
        <v>Germany</v>
      </c>
      <c r="L24" s="65">
        <f>COUNTIF('Raw data for day3'!$D$4:$D$153,K24)</f>
        <v>23</v>
      </c>
      <c r="M24" s="66"/>
      <c r="O24" s="49" t="s">
        <v>321</v>
      </c>
      <c r="P24" s="49"/>
      <c r="Q24" s="49"/>
      <c r="R24" s="49"/>
      <c r="S24" s="49"/>
    </row>
    <row r="25" spans="1:19" x14ac:dyDescent="0.25">
      <c r="A25" s="10" t="str">
        <f>Cleaned_Data4[[#This Row],[Employee ID]]</f>
        <v>EMP1021</v>
      </c>
      <c r="B25" s="10" t="str">
        <f>IF(Cleaned_Data4[[#This Row],[Names]]="","Un-known",Cleaned_Data4[[#This Row],[Names]])</f>
        <v>Jane Smith</v>
      </c>
      <c r="C25" s="10" t="str">
        <f>IF(Cleaned_Data4[[#This Row],[Department]]="","Un-known",Cleaned_Data4[[#This Row],[Department]])</f>
        <v>HR</v>
      </c>
      <c r="D25" s="10" t="str">
        <f>IF(Cleaned_Data4[[#This Row],[Country]]="","Un-known",Cleaned_Data4[[#This Row],[Country]])</f>
        <v>Un-known</v>
      </c>
      <c r="E25" s="35">
        <f>IF(Cleaned_Data4[[#This Row],[Salary]]="N/A","0",Cleaned_Data4[[#This Row],[Salary]])</f>
        <v>98922</v>
      </c>
      <c r="F25" s="36">
        <f>IF(Cleaned_Data4[[#This Row],[Date of Joining]]="","Un-known",Cleaned_Data4[[#This Row],[Date of Joining]])</f>
        <v>42155</v>
      </c>
      <c r="G25" s="39">
        <f>IF(Cleaned_Data4[[#This Row],[Performance Rating]]="","N/A",Cleaned_Data4[[#This Row],[Performance Rating]])</f>
        <v>4</v>
      </c>
      <c r="H25" s="10" t="str">
        <f>IF(Cleaned_Data4[[#This Row],[Gender]]="","Un-known",Cleaned_Data4[[#This Row],[Gender]])</f>
        <v>Un-known</v>
      </c>
      <c r="I25" s="10" t="str">
        <f>IF(Cleaned_Data4[[#This Row],[Email]]="","invalid_email",Cleaned_Data4[[#This Row],[Email]])</f>
        <v>user77@example.com</v>
      </c>
      <c r="K25" s="7" t="str">
        <v>USA</v>
      </c>
      <c r="L25" s="65">
        <f>COUNTIF('Raw data for day3'!$D$4:$D$153,K25)</f>
        <v>24</v>
      </c>
      <c r="M25" s="66"/>
      <c r="O25" s="49"/>
      <c r="P25" s="49"/>
      <c r="Q25" s="49"/>
      <c r="R25" s="49"/>
      <c r="S25" s="49"/>
    </row>
    <row r="26" spans="1:19" x14ac:dyDescent="0.25">
      <c r="A26" s="10" t="str">
        <f>Cleaned_Data4[[#This Row],[Employee ID]]</f>
        <v>EMP1022</v>
      </c>
      <c r="B26" s="10" t="str">
        <f>IF(Cleaned_Data4[[#This Row],[Names]]="","Un-known",Cleaned_Data4[[#This Row],[Names]])</f>
        <v>Eve Adams</v>
      </c>
      <c r="C26" s="10" t="str">
        <f>IF(Cleaned_Data4[[#This Row],[Department]]="","Un-known",Cleaned_Data4[[#This Row],[Department]])</f>
        <v>Finance</v>
      </c>
      <c r="D26" s="10" t="str">
        <f>IF(Cleaned_Data4[[#This Row],[Country]]="","Un-known",Cleaned_Data4[[#This Row],[Country]])</f>
        <v>India</v>
      </c>
      <c r="E26" s="35">
        <f>IF(Cleaned_Data4[[#This Row],[Salary]]="N/A","0",Cleaned_Data4[[#This Row],[Salary]])</f>
        <v>38333</v>
      </c>
      <c r="F26" s="36">
        <f>IF(Cleaned_Data4[[#This Row],[Date of Joining]]="","Un-known",Cleaned_Data4[[#This Row],[Date of Joining]])</f>
        <v>42162</v>
      </c>
      <c r="G26" s="39">
        <f>IF(Cleaned_Data4[[#This Row],[Performance Rating]]="","N/A",Cleaned_Data4[[#This Row],[Performance Rating]])</f>
        <v>5</v>
      </c>
      <c r="H26" s="10" t="str">
        <f>IF(Cleaned_Data4[[#This Row],[Gender]]="","Un-known",Cleaned_Data4[[#This Row],[Gender]])</f>
        <v>Un-known</v>
      </c>
      <c r="I26" s="10" t="str">
        <f>IF(Cleaned_Data4[[#This Row],[Email]]="","invalid_email",Cleaned_Data4[[#This Row],[Email]])</f>
        <v>user128@example.com</v>
      </c>
      <c r="K26" s="7" t="str">
        <v>India</v>
      </c>
      <c r="L26" s="65">
        <f>COUNTIF('Raw data for day3'!$D$4:$D$153,K26)</f>
        <v>28</v>
      </c>
      <c r="M26" s="66"/>
      <c r="O26" s="50" t="s">
        <v>322</v>
      </c>
      <c r="P26" s="50"/>
      <c r="Q26" s="50"/>
      <c r="R26" s="50"/>
      <c r="S26" s="50"/>
    </row>
    <row r="27" spans="1:19" x14ac:dyDescent="0.25">
      <c r="A27" s="10" t="str">
        <f>Cleaned_Data4[[#This Row],[Employee ID]]</f>
        <v>EMP1023</v>
      </c>
      <c r="B27" s="10" t="str">
        <f>IF(Cleaned_Data4[[#This Row],[Names]]="","Un-known",Cleaned_Data4[[#This Row],[Names]])</f>
        <v>Alice Brown</v>
      </c>
      <c r="C27" s="10" t="str">
        <f>IF(Cleaned_Data4[[#This Row],[Department]]="","Un-known",Cleaned_Data4[[#This Row],[Department]])</f>
        <v>Marketing</v>
      </c>
      <c r="D27" s="10" t="str">
        <f>IF(Cleaned_Data4[[#This Row],[Country]]="","Un-known",Cleaned_Data4[[#This Row],[Country]])</f>
        <v>UK</v>
      </c>
      <c r="E27" s="35">
        <f>IF(Cleaned_Data4[[#This Row],[Salary]]="N/A","0",Cleaned_Data4[[#This Row],[Salary]])</f>
        <v>36515</v>
      </c>
      <c r="F27" s="36">
        <f>IF(Cleaned_Data4[[#This Row],[Date of Joining]]="","Un-known",Cleaned_Data4[[#This Row],[Date of Joining]])</f>
        <v>42169</v>
      </c>
      <c r="G27" s="39">
        <f>IF(Cleaned_Data4[[#This Row],[Performance Rating]]="","N/A",Cleaned_Data4[[#This Row],[Performance Rating]])</f>
        <v>3</v>
      </c>
      <c r="H27" s="10" t="str">
        <f>IF(Cleaned_Data4[[#This Row],[Gender]]="","Un-known",Cleaned_Data4[[#This Row],[Gender]])</f>
        <v>Male</v>
      </c>
      <c r="I27" s="10" t="str">
        <f>IF(Cleaned_Data4[[#This Row],[Email]]="","invalid_email",Cleaned_Data4[[#This Row],[Email]])</f>
        <v>user149@example.com</v>
      </c>
      <c r="K27" s="7" t="str">
        <v>UK</v>
      </c>
      <c r="L27" s="65">
        <f>COUNTIF('Raw data for day3'!$D$4:$D$153,K27)</f>
        <v>25</v>
      </c>
      <c r="M27" s="66"/>
      <c r="O27" s="50"/>
      <c r="P27" s="50"/>
      <c r="Q27" s="50"/>
      <c r="R27" s="50"/>
      <c r="S27" s="50"/>
    </row>
    <row r="28" spans="1:19" x14ac:dyDescent="0.25">
      <c r="A28" s="10" t="str">
        <f>Cleaned_Data4[[#This Row],[Employee ID]]</f>
        <v>EMP1024</v>
      </c>
      <c r="B28" s="10" t="str">
        <f>IF(Cleaned_Data4[[#This Row],[Names]]="","Un-known",Cleaned_Data4[[#This Row],[Names]])</f>
        <v>Sam Wilson</v>
      </c>
      <c r="C28" s="10" t="str">
        <f>IF(Cleaned_Data4[[#This Row],[Department]]="","Un-known",Cleaned_Data4[[#This Row],[Department]])</f>
        <v>Finance</v>
      </c>
      <c r="D28" s="10" t="str">
        <f>IF(Cleaned_Data4[[#This Row],[Country]]="","Un-known",Cleaned_Data4[[#This Row],[Country]])</f>
        <v>Un-known</v>
      </c>
      <c r="E28" s="35">
        <f>IF(Cleaned_Data4[[#This Row],[Salary]]="N/A","0",Cleaned_Data4[[#This Row],[Salary]])</f>
        <v>91005</v>
      </c>
      <c r="F28" s="36">
        <f>IF(Cleaned_Data4[[#This Row],[Date of Joining]]="","Un-known",Cleaned_Data4[[#This Row],[Date of Joining]])</f>
        <v>42176</v>
      </c>
      <c r="G28" s="39">
        <f>IF(Cleaned_Data4[[#This Row],[Performance Rating]]="","N/A",Cleaned_Data4[[#This Row],[Performance Rating]])</f>
        <v>1</v>
      </c>
      <c r="H28" s="10" t="str">
        <f>IF(Cleaned_Data4[[#This Row],[Gender]]="","Un-known",Cleaned_Data4[[#This Row],[Gender]])</f>
        <v>Other</v>
      </c>
      <c r="I28" s="10" t="str">
        <f>IF(Cleaned_Data4[[#This Row],[Email]]="","invalid_email",Cleaned_Data4[[#This Row],[Email]])</f>
        <v>user122@example.com</v>
      </c>
      <c r="K28" s="8" t="str">
        <v>Australia</v>
      </c>
      <c r="L28" s="113">
        <f>COUNTIF('Raw data for day3'!$D$4:$D$153,K28)</f>
        <v>19</v>
      </c>
      <c r="M28" s="70"/>
      <c r="O28" s="10"/>
    </row>
    <row r="29" spans="1:19" x14ac:dyDescent="0.25">
      <c r="A29" s="10" t="str">
        <f>Cleaned_Data4[[#This Row],[Employee ID]]</f>
        <v>EMP1025</v>
      </c>
      <c r="B29" s="10" t="str">
        <f>IF(Cleaned_Data4[[#This Row],[Names]]="","Un-known",Cleaned_Data4[[#This Row],[Names]])</f>
        <v>Chris Lee</v>
      </c>
      <c r="C29" s="10" t="str">
        <f>IF(Cleaned_Data4[[#This Row],[Department]]="","Un-known",Cleaned_Data4[[#This Row],[Department]])</f>
        <v>Un-known</v>
      </c>
      <c r="D29" s="10" t="str">
        <f>IF(Cleaned_Data4[[#This Row],[Country]]="","Un-known",Cleaned_Data4[[#This Row],[Country]])</f>
        <v>Un-known</v>
      </c>
      <c r="E29" s="35">
        <f>IF(Cleaned_Data4[[#This Row],[Salary]]="N/A","0",Cleaned_Data4[[#This Row],[Salary]])</f>
        <v>52272</v>
      </c>
      <c r="F29" s="36">
        <f>IF(Cleaned_Data4[[#This Row],[Date of Joining]]="","Un-known",Cleaned_Data4[[#This Row],[Date of Joining]])</f>
        <v>42183</v>
      </c>
      <c r="G29" s="39">
        <f>IF(Cleaned_Data4[[#This Row],[Performance Rating]]="","N/A",Cleaned_Data4[[#This Row],[Performance Rating]])</f>
        <v>3</v>
      </c>
      <c r="H29" s="10" t="str">
        <f>IF(Cleaned_Data4[[#This Row],[Gender]]="","Un-known",Cleaned_Data4[[#This Row],[Gender]])</f>
        <v>Un-known</v>
      </c>
      <c r="I29" s="10" t="str">
        <f>IF(Cleaned_Data4[[#This Row],[Email]]="","invalid_email",Cleaned_Data4[[#This Row],[Email]])</f>
        <v>user41@example.com</v>
      </c>
      <c r="K29" s="41" t="s">
        <v>279</v>
      </c>
      <c r="L29" s="109">
        <f>SUM(L23:M28)</f>
        <v>150</v>
      </c>
      <c r="M29" s="110"/>
    </row>
    <row r="30" spans="1:19" x14ac:dyDescent="0.25">
      <c r="A30" s="10" t="str">
        <f>Cleaned_Data4[[#This Row],[Employee ID]]</f>
        <v>EMP1026</v>
      </c>
      <c r="B30" s="10" t="str">
        <f>IF(Cleaned_Data4[[#This Row],[Names]]="","Un-known",Cleaned_Data4[[#This Row],[Names]])</f>
        <v>Eve Adams</v>
      </c>
      <c r="C30" s="10" t="str">
        <f>IF(Cleaned_Data4[[#This Row],[Department]]="","Un-known",Cleaned_Data4[[#This Row],[Department]])</f>
        <v>Sales</v>
      </c>
      <c r="D30" s="10" t="str">
        <f>IF(Cleaned_Data4[[#This Row],[Country]]="","Un-known",Cleaned_Data4[[#This Row],[Country]])</f>
        <v>Germany</v>
      </c>
      <c r="E30" s="35">
        <f>IF(Cleaned_Data4[[#This Row],[Salary]]="N/A","0",Cleaned_Data4[[#This Row],[Salary]])</f>
        <v>76518</v>
      </c>
      <c r="F30" s="36">
        <f>IF(Cleaned_Data4[[#This Row],[Date of Joining]]="","Un-known",Cleaned_Data4[[#This Row],[Date of Joining]])</f>
        <v>42190</v>
      </c>
      <c r="G30" s="39">
        <f>IF(Cleaned_Data4[[#This Row],[Performance Rating]]="","N/A",Cleaned_Data4[[#This Row],[Performance Rating]])</f>
        <v>2</v>
      </c>
      <c r="H30" s="10" t="str">
        <f>IF(Cleaned_Data4[[#This Row],[Gender]]="","Un-known",Cleaned_Data4[[#This Row],[Gender]])</f>
        <v>Female</v>
      </c>
      <c r="I30" s="10" t="str">
        <f>IF(Cleaned_Data4[[#This Row],[Email]]="","invalid_email",Cleaned_Data4[[#This Row],[Email]])</f>
        <v>user68@example.com</v>
      </c>
    </row>
    <row r="31" spans="1:19" x14ac:dyDescent="0.25">
      <c r="A31" s="10" t="str">
        <f>Cleaned_Data4[[#This Row],[Employee ID]]</f>
        <v>EMP1027</v>
      </c>
      <c r="B31" s="10" t="str">
        <f>IF(Cleaned_Data4[[#This Row],[Names]]="","Un-known",Cleaned_Data4[[#This Row],[Names]])</f>
        <v>Alice Brown</v>
      </c>
      <c r="C31" s="10" t="str">
        <f>IF(Cleaned_Data4[[#This Row],[Department]]="","Un-known",Cleaned_Data4[[#This Row],[Department]])</f>
        <v>IT</v>
      </c>
      <c r="D31" s="10" t="str">
        <f>IF(Cleaned_Data4[[#This Row],[Country]]="","Un-known",Cleaned_Data4[[#This Row],[Country]])</f>
        <v>UK</v>
      </c>
      <c r="E31" s="35">
        <f>IF(Cleaned_Data4[[#This Row],[Salary]]="N/A","0",Cleaned_Data4[[#This Row],[Salary]])</f>
        <v>41448</v>
      </c>
      <c r="F31" s="36">
        <f>IF(Cleaned_Data4[[#This Row],[Date of Joining]]="","Un-known",Cleaned_Data4[[#This Row],[Date of Joining]])</f>
        <v>42197</v>
      </c>
      <c r="G31" s="39">
        <f>IF(Cleaned_Data4[[#This Row],[Performance Rating]]="","N/A",Cleaned_Data4[[#This Row],[Performance Rating]])</f>
        <v>3</v>
      </c>
      <c r="H31" s="10" t="str">
        <f>IF(Cleaned_Data4[[#This Row],[Gender]]="","Un-known",Cleaned_Data4[[#This Row],[Gender]])</f>
        <v>Other</v>
      </c>
      <c r="I31" s="10" t="str">
        <f>IF(Cleaned_Data4[[#This Row],[Email]]="","invalid_email",Cleaned_Data4[[#This Row],[Email]])</f>
        <v>user103@example.com</v>
      </c>
      <c r="P31" s="39"/>
      <c r="Q31" s="39"/>
    </row>
    <row r="32" spans="1:19" x14ac:dyDescent="0.25">
      <c r="A32" s="10" t="str">
        <f>Cleaned_Data4[[#This Row],[Employee ID]]</f>
        <v>EMP1028</v>
      </c>
      <c r="B32" s="10" t="str">
        <f>IF(Cleaned_Data4[[#This Row],[Names]]="","Un-known",Cleaned_Data4[[#This Row],[Names]])</f>
        <v>John Doe</v>
      </c>
      <c r="C32" s="10" t="str">
        <f>IF(Cleaned_Data4[[#This Row],[Department]]="","Un-known",Cleaned_Data4[[#This Row],[Department]])</f>
        <v>HR</v>
      </c>
      <c r="D32" s="10" t="str">
        <f>IF(Cleaned_Data4[[#This Row],[Country]]="","Un-known",Cleaned_Data4[[#This Row],[Country]])</f>
        <v>UK</v>
      </c>
      <c r="E32" s="35">
        <f>IF(Cleaned_Data4[[#This Row],[Salary]]="N/A","0",Cleaned_Data4[[#This Row],[Salary]])</f>
        <v>49282</v>
      </c>
      <c r="F32" s="36">
        <f>IF(Cleaned_Data4[[#This Row],[Date of Joining]]="","Un-known",Cleaned_Data4[[#This Row],[Date of Joining]])</f>
        <v>42204</v>
      </c>
      <c r="G32" s="39">
        <f>IF(Cleaned_Data4[[#This Row],[Performance Rating]]="","N/A",Cleaned_Data4[[#This Row],[Performance Rating]])</f>
        <v>2</v>
      </c>
      <c r="H32" s="10" t="str">
        <f>IF(Cleaned_Data4[[#This Row],[Gender]]="","Un-known",Cleaned_Data4[[#This Row],[Gender]])</f>
        <v>Female</v>
      </c>
      <c r="I32" s="10" t="str">
        <f>IF(Cleaned_Data4[[#This Row],[Email]]="","invalid_email",Cleaned_Data4[[#This Row],[Email]])</f>
        <v>user135@example.com</v>
      </c>
      <c r="K32" s="89" t="s">
        <v>298</v>
      </c>
      <c r="L32" s="90"/>
      <c r="M32" s="91"/>
      <c r="P32" s="39"/>
      <c r="Q32" s="39"/>
    </row>
    <row r="33" spans="1:23" x14ac:dyDescent="0.25">
      <c r="A33" s="10" t="str">
        <f>Cleaned_Data4[[#This Row],[Employee ID]]</f>
        <v>EMP1029</v>
      </c>
      <c r="B33" s="10" t="str">
        <f>IF(Cleaned_Data4[[#This Row],[Names]]="","Un-known",Cleaned_Data4[[#This Row],[Names]])</f>
        <v>Bob Johnson</v>
      </c>
      <c r="C33" s="10" t="str">
        <f>IF(Cleaned_Data4[[#This Row],[Department]]="","Un-known",Cleaned_Data4[[#This Row],[Department]])</f>
        <v>Marketing</v>
      </c>
      <c r="D33" s="10" t="str">
        <f>IF(Cleaned_Data4[[#This Row],[Country]]="","Un-known",Cleaned_Data4[[#This Row],[Country]])</f>
        <v>UK</v>
      </c>
      <c r="E33" s="35">
        <f>IF(Cleaned_Data4[[#This Row],[Salary]]="N/A","0",Cleaned_Data4[[#This Row],[Salary]])</f>
        <v>92959</v>
      </c>
      <c r="F33" s="36">
        <f>IF(Cleaned_Data4[[#This Row],[Date of Joining]]="","Un-known",Cleaned_Data4[[#This Row],[Date of Joining]])</f>
        <v>42211</v>
      </c>
      <c r="G33" s="39">
        <f>IF(Cleaned_Data4[[#This Row],[Performance Rating]]="","N/A",Cleaned_Data4[[#This Row],[Performance Rating]])</f>
        <v>5</v>
      </c>
      <c r="H33" s="10" t="str">
        <f>IF(Cleaned_Data4[[#This Row],[Gender]]="","Un-known",Cleaned_Data4[[#This Row],[Gender]])</f>
        <v>Un-known</v>
      </c>
      <c r="I33" s="10" t="str">
        <f>IF(Cleaned_Data4[[#This Row],[Email]]="","invalid_email",Cleaned_Data4[[#This Row],[Email]])</f>
        <v>user83@example.com</v>
      </c>
      <c r="K33" s="92"/>
      <c r="L33" s="93"/>
      <c r="M33" s="94"/>
      <c r="P33" s="42"/>
      <c r="Q33" s="42"/>
    </row>
    <row r="34" spans="1:23" x14ac:dyDescent="0.25">
      <c r="A34" s="10" t="str">
        <f>Cleaned_Data4[[#This Row],[Employee ID]]</f>
        <v>EMP1030</v>
      </c>
      <c r="B34" s="10" t="str">
        <f>IF(Cleaned_Data4[[#This Row],[Names]]="","Un-known",Cleaned_Data4[[#This Row],[Names]])</f>
        <v>Un-known</v>
      </c>
      <c r="C34" s="10" t="str">
        <f>IF(Cleaned_Data4[[#This Row],[Department]]="","Un-known",Cleaned_Data4[[#This Row],[Department]])</f>
        <v>Marketing</v>
      </c>
      <c r="D34" s="10" t="str">
        <f>IF(Cleaned_Data4[[#This Row],[Country]]="","Un-known",Cleaned_Data4[[#This Row],[Country]])</f>
        <v>Un-known</v>
      </c>
      <c r="E34" s="35">
        <f>IF(Cleaned_Data4[[#This Row],[Salary]]="N/A","0",Cleaned_Data4[[#This Row],[Salary]])</f>
        <v>92259</v>
      </c>
      <c r="F34" s="36" t="str">
        <f>IF(Cleaned_Data4[[#This Row],[Date of Joining]]="","Un-known",Cleaned_Data4[[#This Row],[Date of Joining]])</f>
        <v>Un-known</v>
      </c>
      <c r="G34" s="39">
        <f>IF(Cleaned_Data4[[#This Row],[Performance Rating]]="","N/A",Cleaned_Data4[[#This Row],[Performance Rating]])</f>
        <v>1</v>
      </c>
      <c r="H34" s="10" t="str">
        <f>IF(Cleaned_Data4[[#This Row],[Gender]]="","Un-known",Cleaned_Data4[[#This Row],[Gender]])</f>
        <v>Unknown</v>
      </c>
      <c r="I34" s="10" t="str">
        <f>IF(Cleaned_Data4[[#This Row],[Email]]="","invalid_email",Cleaned_Data4[[#This Row],[Email]])</f>
        <v>user109@example.com</v>
      </c>
      <c r="K34" s="88" t="s">
        <v>6</v>
      </c>
      <c r="L34" s="95" t="s">
        <v>293</v>
      </c>
      <c r="M34" s="96"/>
    </row>
    <row r="35" spans="1:23" x14ac:dyDescent="0.25">
      <c r="A35" s="10" t="str">
        <f>Cleaned_Data4[[#This Row],[Employee ID]]</f>
        <v>EMP1031</v>
      </c>
      <c r="B35" s="10" t="str">
        <f>IF(Cleaned_Data4[[#This Row],[Names]]="","Un-known",Cleaned_Data4[[#This Row],[Names]])</f>
        <v>Eve Adams</v>
      </c>
      <c r="C35" s="10" t="str">
        <f>IF(Cleaned_Data4[[#This Row],[Department]]="","Un-known",Cleaned_Data4[[#This Row],[Department]])</f>
        <v>HR</v>
      </c>
      <c r="D35" s="10" t="str">
        <f>IF(Cleaned_Data4[[#This Row],[Country]]="","Un-known",Cleaned_Data4[[#This Row],[Country]])</f>
        <v>Germany</v>
      </c>
      <c r="E35" s="35">
        <f>IF(Cleaned_Data4[[#This Row],[Salary]]="N/A","0",Cleaned_Data4[[#This Row],[Salary]])</f>
        <v>92299</v>
      </c>
      <c r="F35" s="36">
        <f>IF(Cleaned_Data4[[#This Row],[Date of Joining]]="","Un-known",Cleaned_Data4[[#This Row],[Date of Joining]])</f>
        <v>42225</v>
      </c>
      <c r="G35" s="39">
        <f>IF(Cleaned_Data4[[#This Row],[Performance Rating]]="","N/A",Cleaned_Data4[[#This Row],[Performance Rating]])</f>
        <v>3</v>
      </c>
      <c r="H35" s="10" t="str">
        <f>IF(Cleaned_Data4[[#This Row],[Gender]]="","Un-known",Cleaned_Data4[[#This Row],[Gender]])</f>
        <v>Male</v>
      </c>
      <c r="I35" s="10" t="str">
        <f>IF(Cleaned_Data4[[#This Row],[Email]]="","invalid_email",Cleaned_Data4[[#This Row],[Email]])</f>
        <v>user143@example.com</v>
      </c>
      <c r="K35" s="88"/>
      <c r="L35" s="95"/>
      <c r="M35" s="96"/>
      <c r="N35" s="142"/>
      <c r="O35" s="10"/>
      <c r="P35" s="46"/>
      <c r="Q35" s="46"/>
      <c r="R35" s="46"/>
      <c r="S35" s="46"/>
      <c r="T35" s="10"/>
      <c r="U35" s="10"/>
      <c r="V35" s="10"/>
    </row>
    <row r="36" spans="1:23" x14ac:dyDescent="0.25">
      <c r="A36" s="10" t="str">
        <f>Cleaned_Data4[[#This Row],[Employee ID]]</f>
        <v>EMP1032</v>
      </c>
      <c r="B36" s="10" t="str">
        <f>IF(Cleaned_Data4[[#This Row],[Names]]="","Un-known",Cleaned_Data4[[#This Row],[Names]])</f>
        <v>Sam Wilson</v>
      </c>
      <c r="C36" s="10" t="str">
        <f>IF(Cleaned_Data4[[#This Row],[Department]]="","Un-known",Cleaned_Data4[[#This Row],[Department]])</f>
        <v>HR</v>
      </c>
      <c r="D36" s="10" t="str">
        <f>IF(Cleaned_Data4[[#This Row],[Country]]="","Un-known",Cleaned_Data4[[#This Row],[Country]])</f>
        <v>Un-known</v>
      </c>
      <c r="E36" s="35">
        <f>IF(Cleaned_Data4[[#This Row],[Salary]]="N/A","0",Cleaned_Data4[[#This Row],[Salary]])</f>
        <v>95586</v>
      </c>
      <c r="F36" s="36">
        <f>IF(Cleaned_Data4[[#This Row],[Date of Joining]]="","Un-known",Cleaned_Data4[[#This Row],[Date of Joining]])</f>
        <v>42232</v>
      </c>
      <c r="G36" s="39">
        <f>IF(Cleaned_Data4[[#This Row],[Performance Rating]]="","N/A",Cleaned_Data4[[#This Row],[Performance Rating]])</f>
        <v>3</v>
      </c>
      <c r="H36" s="10" t="str">
        <f>IF(Cleaned_Data4[[#This Row],[Gender]]="","Un-known",Cleaned_Data4[[#This Row],[Gender]])</f>
        <v>Other</v>
      </c>
      <c r="I36" s="10" t="str">
        <f>IF(Cleaned_Data4[[#This Row],[Email]]="","invalid_email",Cleaned_Data4[[#This Row],[Email]])</f>
        <v>user190@example.com</v>
      </c>
      <c r="K36" s="15" cm="1">
        <f t="array" ref="K36:K41">_xlfn.UNIQUE(Cleaned_Data4[Performance Rating])</f>
        <v>2</v>
      </c>
      <c r="L36" s="63">
        <f>COUNTIF('Raw data for day3'!$H$4:$H$153,K36)</f>
        <v>23</v>
      </c>
      <c r="M36" s="64"/>
      <c r="N36" s="10"/>
      <c r="O36" s="50" t="s">
        <v>303</v>
      </c>
      <c r="P36" s="50"/>
      <c r="Q36" s="50"/>
      <c r="R36" s="50"/>
      <c r="S36" s="50"/>
      <c r="T36" s="10"/>
      <c r="U36" s="10"/>
      <c r="V36" s="10"/>
    </row>
    <row r="37" spans="1:23" x14ac:dyDescent="0.25">
      <c r="A37" s="10" t="str">
        <f>Cleaned_Data4[[#This Row],[Employee ID]]</f>
        <v>EMP1033</v>
      </c>
      <c r="B37" s="10" t="str">
        <f>IF(Cleaned_Data4[[#This Row],[Names]]="","Un-known",Cleaned_Data4[[#This Row],[Names]])</f>
        <v>Chris Lee</v>
      </c>
      <c r="C37" s="10" t="str">
        <f>IF(Cleaned_Data4[[#This Row],[Department]]="","Un-known",Cleaned_Data4[[#This Row],[Department]])</f>
        <v>Un-known</v>
      </c>
      <c r="D37" s="10" t="str">
        <f>IF(Cleaned_Data4[[#This Row],[Country]]="","Un-known",Cleaned_Data4[[#This Row],[Country]])</f>
        <v>USA</v>
      </c>
      <c r="E37" s="35">
        <f>IF(Cleaned_Data4[[#This Row],[Salary]]="N/A","0",Cleaned_Data4[[#This Row],[Salary]])</f>
        <v>95367</v>
      </c>
      <c r="F37" s="36">
        <f>IF(Cleaned_Data4[[#This Row],[Date of Joining]]="","Un-known",Cleaned_Data4[[#This Row],[Date of Joining]])</f>
        <v>42239</v>
      </c>
      <c r="G37" s="39" t="str">
        <f>IF(Cleaned_Data4[[#This Row],[Performance Rating]]="","N/A",Cleaned_Data4[[#This Row],[Performance Rating]])</f>
        <v>N/A</v>
      </c>
      <c r="H37" s="10" t="str">
        <f>IF(Cleaned_Data4[[#This Row],[Gender]]="","Un-known",Cleaned_Data4[[#This Row],[Gender]])</f>
        <v>Male</v>
      </c>
      <c r="I37" s="10" t="str">
        <f>IF(Cleaned_Data4[[#This Row],[Email]]="","invalid_email",Cleaned_Data4[[#This Row],[Email]])</f>
        <v>user136@example.com</v>
      </c>
      <c r="K37" s="16">
        <v>1</v>
      </c>
      <c r="L37" s="65">
        <f>COUNTIF('Raw data for day3'!$H$4:$H$153,K37)</f>
        <v>30</v>
      </c>
      <c r="M37" s="66"/>
      <c r="N37" s="10"/>
      <c r="O37" s="50"/>
      <c r="P37" s="50"/>
      <c r="Q37" s="50"/>
      <c r="R37" s="50"/>
      <c r="S37" s="50"/>
      <c r="T37" s="10"/>
      <c r="U37" s="10"/>
      <c r="V37" s="10"/>
    </row>
    <row r="38" spans="1:23" x14ac:dyDescent="0.25">
      <c r="A38" s="10" t="str">
        <f>Cleaned_Data4[[#This Row],[Employee ID]]</f>
        <v>EMP1034</v>
      </c>
      <c r="B38" s="10" t="str">
        <f>IF(Cleaned_Data4[[#This Row],[Names]]="","Un-known",Cleaned_Data4[[#This Row],[Names]])</f>
        <v>John Doe</v>
      </c>
      <c r="C38" s="10" t="str">
        <f>IF(Cleaned_Data4[[#This Row],[Department]]="","Un-known",Cleaned_Data4[[#This Row],[Department]])</f>
        <v>Sales</v>
      </c>
      <c r="D38" s="10" t="str">
        <f>IF(Cleaned_Data4[[#This Row],[Country]]="","Un-known",Cleaned_Data4[[#This Row],[Country]])</f>
        <v>Australia</v>
      </c>
      <c r="E38" s="35">
        <f>IF(Cleaned_Data4[[#This Row],[Salary]]="N/A","0",Cleaned_Data4[[#This Row],[Salary]])</f>
        <v>79549</v>
      </c>
      <c r="F38" s="36">
        <f>IF(Cleaned_Data4[[#This Row],[Date of Joining]]="","Un-known",Cleaned_Data4[[#This Row],[Date of Joining]])</f>
        <v>42246</v>
      </c>
      <c r="G38" s="39">
        <f>IF(Cleaned_Data4[[#This Row],[Performance Rating]]="","N/A",Cleaned_Data4[[#This Row],[Performance Rating]])</f>
        <v>3</v>
      </c>
      <c r="H38" s="10" t="str">
        <f>IF(Cleaned_Data4[[#This Row],[Gender]]="","Un-known",Cleaned_Data4[[#This Row],[Gender]])</f>
        <v>Un-known</v>
      </c>
      <c r="I38" s="10" t="str">
        <f>IF(Cleaned_Data4[[#This Row],[Email]]="","invalid_email",Cleaned_Data4[[#This Row],[Email]])</f>
        <v>user198@example.com</v>
      </c>
      <c r="K38" s="17" t="str">
        <v/>
      </c>
      <c r="L38" s="67">
        <f>COUNTIF('Raw data for day3'!$H$4:$H$153,K38)</f>
        <v>25</v>
      </c>
      <c r="M38" s="68"/>
      <c r="N38" s="10"/>
      <c r="O38" s="50" t="s">
        <v>323</v>
      </c>
      <c r="P38" s="50"/>
      <c r="Q38" s="50"/>
      <c r="R38" s="50"/>
      <c r="S38" s="50"/>
      <c r="T38" s="10"/>
      <c r="U38" s="10"/>
      <c r="V38" s="10"/>
    </row>
    <row r="39" spans="1:23" x14ac:dyDescent="0.25">
      <c r="A39" s="10" t="str">
        <f>Cleaned_Data4[[#This Row],[Employee ID]]</f>
        <v>EMP1035</v>
      </c>
      <c r="B39" s="10" t="str">
        <f>IF(Cleaned_Data4[[#This Row],[Names]]="","Un-known",Cleaned_Data4[[#This Row],[Names]])</f>
        <v>Alice Brown</v>
      </c>
      <c r="C39" s="10" t="str">
        <f>IF(Cleaned_Data4[[#This Row],[Department]]="","Un-known",Cleaned_Data4[[#This Row],[Department]])</f>
        <v>Un-known</v>
      </c>
      <c r="D39" s="10" t="str">
        <f>IF(Cleaned_Data4[[#This Row],[Country]]="","Un-known",Cleaned_Data4[[#This Row],[Country]])</f>
        <v>UK</v>
      </c>
      <c r="E39" s="35">
        <f>IF(Cleaned_Data4[[#This Row],[Salary]]="N/A","0",Cleaned_Data4[[#This Row],[Salary]])</f>
        <v>54463</v>
      </c>
      <c r="F39" s="36">
        <f>IF(Cleaned_Data4[[#This Row],[Date of Joining]]="","Un-known",Cleaned_Data4[[#This Row],[Date of Joining]])</f>
        <v>42253</v>
      </c>
      <c r="G39" s="39">
        <f>IF(Cleaned_Data4[[#This Row],[Performance Rating]]="","N/A",Cleaned_Data4[[#This Row],[Performance Rating]])</f>
        <v>4</v>
      </c>
      <c r="H39" s="10" t="str">
        <f>IF(Cleaned_Data4[[#This Row],[Gender]]="","Un-known",Cleaned_Data4[[#This Row],[Gender]])</f>
        <v>Male</v>
      </c>
      <c r="I39" s="10" t="str">
        <f>IF(Cleaned_Data4[[#This Row],[Email]]="","invalid_email",Cleaned_Data4[[#This Row],[Email]])</f>
        <v>invalid_email</v>
      </c>
      <c r="K39" s="16">
        <v>5</v>
      </c>
      <c r="L39" s="65">
        <f>COUNTIF('Raw data for day3'!$H$4:$H$153,K39)</f>
        <v>25</v>
      </c>
      <c r="M39" s="66"/>
      <c r="N39" s="10"/>
      <c r="O39" s="50"/>
      <c r="P39" s="50"/>
      <c r="Q39" s="50"/>
      <c r="R39" s="50"/>
      <c r="S39" s="50"/>
      <c r="T39" s="10"/>
      <c r="U39" s="10"/>
      <c r="V39" s="10"/>
    </row>
    <row r="40" spans="1:23" x14ac:dyDescent="0.25">
      <c r="A40" s="10" t="str">
        <f>Cleaned_Data4[[#This Row],[Employee ID]]</f>
        <v>EMP1036</v>
      </c>
      <c r="B40" s="10" t="str">
        <f>IF(Cleaned_Data4[[#This Row],[Names]]="","Un-known",Cleaned_Data4[[#This Row],[Names]])</f>
        <v>Alice Brown</v>
      </c>
      <c r="C40" s="10" t="str">
        <f>IF(Cleaned_Data4[[#This Row],[Department]]="","Un-known",Cleaned_Data4[[#This Row],[Department]])</f>
        <v>IT</v>
      </c>
      <c r="D40" s="10" t="str">
        <f>IF(Cleaned_Data4[[#This Row],[Country]]="","Un-known",Cleaned_Data4[[#This Row],[Country]])</f>
        <v>USA</v>
      </c>
      <c r="E40" s="35">
        <f>IF(Cleaned_Data4[[#This Row],[Salary]]="N/A","0",Cleaned_Data4[[#This Row],[Salary]])</f>
        <v>89781</v>
      </c>
      <c r="F40" s="36">
        <f>IF(Cleaned_Data4[[#This Row],[Date of Joining]]="","Un-known",Cleaned_Data4[[#This Row],[Date of Joining]])</f>
        <v>42260</v>
      </c>
      <c r="G40" s="39" t="str">
        <f>IF(Cleaned_Data4[[#This Row],[Performance Rating]]="","N/A",Cleaned_Data4[[#This Row],[Performance Rating]])</f>
        <v>N/A</v>
      </c>
      <c r="H40" s="10" t="str">
        <f>IF(Cleaned_Data4[[#This Row],[Gender]]="","Un-known",Cleaned_Data4[[#This Row],[Gender]])</f>
        <v>Female</v>
      </c>
      <c r="I40" s="10" t="str">
        <f>IF(Cleaned_Data4[[#This Row],[Email]]="","invalid_email",Cleaned_Data4[[#This Row],[Email]])</f>
        <v>user31@example.com</v>
      </c>
      <c r="K40" s="16">
        <v>4</v>
      </c>
      <c r="L40" s="65">
        <f>COUNTIF('Raw data for day3'!$H$4:$H$153,K40)</f>
        <v>17</v>
      </c>
      <c r="M40" s="66"/>
      <c r="N40" s="10"/>
      <c r="O40" s="50" t="s">
        <v>324</v>
      </c>
      <c r="P40" s="50"/>
      <c r="Q40" s="50"/>
      <c r="R40" s="50"/>
      <c r="S40" s="50"/>
      <c r="T40" s="10"/>
      <c r="U40" s="10"/>
      <c r="V40" s="10"/>
    </row>
    <row r="41" spans="1:23" x14ac:dyDescent="0.25">
      <c r="A41" s="10" t="str">
        <f>Cleaned_Data4[[#This Row],[Employee ID]]</f>
        <v>EMP1037</v>
      </c>
      <c r="B41" s="10" t="str">
        <f>IF(Cleaned_Data4[[#This Row],[Names]]="","Un-known",Cleaned_Data4[[#This Row],[Names]])</f>
        <v>Alice Brown</v>
      </c>
      <c r="C41" s="10" t="str">
        <f>IF(Cleaned_Data4[[#This Row],[Department]]="","Un-known",Cleaned_Data4[[#This Row],[Department]])</f>
        <v>HR</v>
      </c>
      <c r="D41" s="10" t="str">
        <f>IF(Cleaned_Data4[[#This Row],[Country]]="","Un-known",Cleaned_Data4[[#This Row],[Country]])</f>
        <v>Un-known</v>
      </c>
      <c r="E41" s="35">
        <f>IF(Cleaned_Data4[[#This Row],[Salary]]="N/A","0",Cleaned_Data4[[#This Row],[Salary]])</f>
        <v>64796</v>
      </c>
      <c r="F41" s="36">
        <f>IF(Cleaned_Data4[[#This Row],[Date of Joining]]="","Un-known",Cleaned_Data4[[#This Row],[Date of Joining]])</f>
        <v>42267</v>
      </c>
      <c r="G41" s="39" t="str">
        <f>IF(Cleaned_Data4[[#This Row],[Performance Rating]]="","N/A",Cleaned_Data4[[#This Row],[Performance Rating]])</f>
        <v>N/A</v>
      </c>
      <c r="H41" s="10" t="str">
        <f>IF(Cleaned_Data4[[#This Row],[Gender]]="","Un-known",Cleaned_Data4[[#This Row],[Gender]])</f>
        <v>Other</v>
      </c>
      <c r="I41" s="10" t="str">
        <f>IF(Cleaned_Data4[[#This Row],[Email]]="","invalid_email",Cleaned_Data4[[#This Row],[Email]])</f>
        <v>user98@example.com</v>
      </c>
      <c r="K41" s="18">
        <v>3</v>
      </c>
      <c r="L41" s="113">
        <f>COUNTIF('Raw data for day3'!$H$4:$H$153,K41)</f>
        <v>30</v>
      </c>
      <c r="M41" s="70"/>
      <c r="N41" s="10"/>
      <c r="O41" s="50"/>
      <c r="P41" s="50"/>
      <c r="Q41" s="50"/>
      <c r="R41" s="50"/>
      <c r="S41" s="50"/>
      <c r="T41" s="10"/>
      <c r="U41" s="10"/>
      <c r="V41" s="10"/>
    </row>
    <row r="42" spans="1:23" x14ac:dyDescent="0.25">
      <c r="A42" s="10" t="str">
        <f>Cleaned_Data4[[#This Row],[Employee ID]]</f>
        <v>EMP1038</v>
      </c>
      <c r="B42" s="10" t="str">
        <f>IF(Cleaned_Data4[[#This Row],[Names]]="","Un-known",Cleaned_Data4[[#This Row],[Names]])</f>
        <v>John Doe</v>
      </c>
      <c r="C42" s="10" t="str">
        <f>IF(Cleaned_Data4[[#This Row],[Department]]="","Un-known",Cleaned_Data4[[#This Row],[Department]])</f>
        <v>Marketing</v>
      </c>
      <c r="D42" s="10" t="str">
        <f>IF(Cleaned_Data4[[#This Row],[Country]]="","Un-known",Cleaned_Data4[[#This Row],[Country]])</f>
        <v>UK</v>
      </c>
      <c r="E42" s="35">
        <f>IF(Cleaned_Data4[[#This Row],[Salary]]="N/A","0",Cleaned_Data4[[#This Row],[Salary]])</f>
        <v>52093</v>
      </c>
      <c r="F42" s="36">
        <f>IF(Cleaned_Data4[[#This Row],[Date of Joining]]="","Un-known",Cleaned_Data4[[#This Row],[Date of Joining]])</f>
        <v>42274</v>
      </c>
      <c r="G42" s="39">
        <f>IF(Cleaned_Data4[[#This Row],[Performance Rating]]="","N/A",Cleaned_Data4[[#This Row],[Performance Rating]])</f>
        <v>5</v>
      </c>
      <c r="H42" s="10" t="str">
        <f>IF(Cleaned_Data4[[#This Row],[Gender]]="","Un-known",Cleaned_Data4[[#This Row],[Gender]])</f>
        <v>Un-known</v>
      </c>
      <c r="I42" s="10" t="str">
        <f>IF(Cleaned_Data4[[#This Row],[Email]]="","invalid_email",Cleaned_Data4[[#This Row],[Email]])</f>
        <v>user154@example.com</v>
      </c>
      <c r="K42" s="139" t="s">
        <v>279</v>
      </c>
      <c r="L42" s="71">
        <f>SUM(L36:M41)</f>
        <v>150</v>
      </c>
      <c r="M42" s="71"/>
      <c r="N42" s="10"/>
      <c r="O42" s="46"/>
      <c r="P42" s="46"/>
      <c r="Q42" s="46"/>
      <c r="R42" s="46"/>
      <c r="S42" s="10"/>
      <c r="T42" s="10"/>
      <c r="U42" s="10"/>
      <c r="V42" s="10"/>
    </row>
    <row r="43" spans="1:23" x14ac:dyDescent="0.25">
      <c r="A43" s="10" t="str">
        <f>Cleaned_Data4[[#This Row],[Employee ID]]</f>
        <v>EMP1039</v>
      </c>
      <c r="B43" s="10" t="str">
        <f>IF(Cleaned_Data4[[#This Row],[Names]]="","Un-known",Cleaned_Data4[[#This Row],[Names]])</f>
        <v>Chris Lee</v>
      </c>
      <c r="C43" s="10" t="str">
        <f>IF(Cleaned_Data4[[#This Row],[Department]]="","Un-known",Cleaned_Data4[[#This Row],[Department]])</f>
        <v>HR</v>
      </c>
      <c r="D43" s="10" t="str">
        <f>IF(Cleaned_Data4[[#This Row],[Country]]="","Un-known",Cleaned_Data4[[#This Row],[Country]])</f>
        <v>UK</v>
      </c>
      <c r="E43" s="35">
        <f>IF(Cleaned_Data4[[#This Row],[Salary]]="N/A","0",Cleaned_Data4[[#This Row],[Salary]])</f>
        <v>48224</v>
      </c>
      <c r="F43" s="36">
        <f>IF(Cleaned_Data4[[#This Row],[Date of Joining]]="","Un-known",Cleaned_Data4[[#This Row],[Date of Joining]])</f>
        <v>42281</v>
      </c>
      <c r="G43" s="39">
        <f>IF(Cleaned_Data4[[#This Row],[Performance Rating]]="","N/A",Cleaned_Data4[[#This Row],[Performance Rating]])</f>
        <v>3</v>
      </c>
      <c r="H43" s="10" t="str">
        <f>IF(Cleaned_Data4[[#This Row],[Gender]]="","Un-known",Cleaned_Data4[[#This Row],[Gender]])</f>
        <v>Un-known</v>
      </c>
      <c r="I43" s="10" t="str">
        <f>IF(Cleaned_Data4[[#This Row],[Email]]="","invalid_email",Cleaned_Data4[[#This Row],[Email]])</f>
        <v>user42@example.com</v>
      </c>
      <c r="K43" s="117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1:23" x14ac:dyDescent="0.25">
      <c r="A44" s="10" t="str">
        <f>Cleaned_Data4[[#This Row],[Employee ID]]</f>
        <v>EMP1040</v>
      </c>
      <c r="B44" s="10" t="str">
        <f>IF(Cleaned_Data4[[#This Row],[Names]]="","Un-known",Cleaned_Data4[[#This Row],[Names]])</f>
        <v>Bob Johnson</v>
      </c>
      <c r="C44" s="10" t="str">
        <f>IF(Cleaned_Data4[[#This Row],[Department]]="","Un-known",Cleaned_Data4[[#This Row],[Department]])</f>
        <v>Finance</v>
      </c>
      <c r="D44" s="10" t="str">
        <f>IF(Cleaned_Data4[[#This Row],[Country]]="","Un-known",Cleaned_Data4[[#This Row],[Country]])</f>
        <v>UK</v>
      </c>
      <c r="E44" s="35" t="str">
        <f>IF(Cleaned_Data4[[#This Row],[Salary]]="N/A","0",Cleaned_Data4[[#This Row],[Salary]])</f>
        <v>0</v>
      </c>
      <c r="F44" s="36" t="str">
        <f>IF(Cleaned_Data4[[#This Row],[Date of Joining]]="","Un-known",Cleaned_Data4[[#This Row],[Date of Joining]])</f>
        <v>Un-known</v>
      </c>
      <c r="G44" s="39">
        <f>IF(Cleaned_Data4[[#This Row],[Performance Rating]]="","N/A",Cleaned_Data4[[#This Row],[Performance Rating]])</f>
        <v>4</v>
      </c>
      <c r="H44" s="10" t="str">
        <f>IF(Cleaned_Data4[[#This Row],[Gender]]="","Un-known",Cleaned_Data4[[#This Row],[Gender]])</f>
        <v>Female</v>
      </c>
      <c r="I44" s="10" t="str">
        <f>IF(Cleaned_Data4[[#This Row],[Email]]="","invalid_email",Cleaned_Data4[[#This Row],[Email]])</f>
        <v>user89@example.com</v>
      </c>
      <c r="K44" s="117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 spans="1:23" x14ac:dyDescent="0.25">
      <c r="A45" s="10" t="str">
        <f>Cleaned_Data4[[#This Row],[Employee ID]]</f>
        <v>EMP1041</v>
      </c>
      <c r="B45" s="10" t="str">
        <f>IF(Cleaned_Data4[[#This Row],[Names]]="","Un-known",Cleaned_Data4[[#This Row],[Names]])</f>
        <v>Alice Brown</v>
      </c>
      <c r="C45" s="10" t="str">
        <f>IF(Cleaned_Data4[[#This Row],[Department]]="","Un-known",Cleaned_Data4[[#This Row],[Department]])</f>
        <v>IT</v>
      </c>
      <c r="D45" s="10" t="str">
        <f>IF(Cleaned_Data4[[#This Row],[Country]]="","Un-known",Cleaned_Data4[[#This Row],[Country]])</f>
        <v>Germany</v>
      </c>
      <c r="E45" s="35">
        <f>IF(Cleaned_Data4[[#This Row],[Salary]]="N/A","0",Cleaned_Data4[[#This Row],[Salary]])</f>
        <v>33956</v>
      </c>
      <c r="F45" s="36">
        <f>IF(Cleaned_Data4[[#This Row],[Date of Joining]]="","Un-known",Cleaned_Data4[[#This Row],[Date of Joining]])</f>
        <v>42295</v>
      </c>
      <c r="G45" s="39" t="str">
        <f>IF(Cleaned_Data4[[#This Row],[Performance Rating]]="","N/A",Cleaned_Data4[[#This Row],[Performance Rating]])</f>
        <v>N/A</v>
      </c>
      <c r="H45" s="10" t="str">
        <f>IF(Cleaned_Data4[[#This Row],[Gender]]="","Un-known",Cleaned_Data4[[#This Row],[Gender]])</f>
        <v>Un-known</v>
      </c>
      <c r="I45" s="10" t="str">
        <f>IF(Cleaned_Data4[[#This Row],[Email]]="","invalid_email",Cleaned_Data4[[#This Row],[Email]])</f>
        <v>user47@example.com</v>
      </c>
      <c r="K45" s="89" t="s">
        <v>295</v>
      </c>
      <c r="L45" s="90"/>
      <c r="M45" s="91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 spans="1:23" x14ac:dyDescent="0.25">
      <c r="A46" s="10" t="str">
        <f>Cleaned_Data4[[#This Row],[Employee ID]]</f>
        <v>EMP1042</v>
      </c>
      <c r="B46" s="10" t="str">
        <f>IF(Cleaned_Data4[[#This Row],[Names]]="","Un-known",Cleaned_Data4[[#This Row],[Names]])</f>
        <v>Bob Johnson</v>
      </c>
      <c r="C46" s="10" t="str">
        <f>IF(Cleaned_Data4[[#This Row],[Department]]="","Un-known",Cleaned_Data4[[#This Row],[Department]])</f>
        <v>Un-known</v>
      </c>
      <c r="D46" s="10" t="str">
        <f>IF(Cleaned_Data4[[#This Row],[Country]]="","Un-known",Cleaned_Data4[[#This Row],[Country]])</f>
        <v>Australia</v>
      </c>
      <c r="E46" s="35">
        <f>IF(Cleaned_Data4[[#This Row],[Salary]]="N/A","0",Cleaned_Data4[[#This Row],[Salary]])</f>
        <v>64913</v>
      </c>
      <c r="F46" s="36">
        <f>IF(Cleaned_Data4[[#This Row],[Date of Joining]]="","Un-known",Cleaned_Data4[[#This Row],[Date of Joining]])</f>
        <v>42302</v>
      </c>
      <c r="G46" s="39">
        <f>IF(Cleaned_Data4[[#This Row],[Performance Rating]]="","N/A",Cleaned_Data4[[#This Row],[Performance Rating]])</f>
        <v>1</v>
      </c>
      <c r="H46" s="10" t="str">
        <f>IF(Cleaned_Data4[[#This Row],[Gender]]="","Un-known",Cleaned_Data4[[#This Row],[Gender]])</f>
        <v>Female</v>
      </c>
      <c r="I46" s="10" t="str">
        <f>IF(Cleaned_Data4[[#This Row],[Email]]="","invalid_email",Cleaned_Data4[[#This Row],[Email]])</f>
        <v>user175@example.com</v>
      </c>
      <c r="K46" s="92"/>
      <c r="L46" s="93"/>
      <c r="M46" s="94"/>
      <c r="N46" s="10"/>
      <c r="O46" s="10"/>
      <c r="P46" s="103" t="s">
        <v>308</v>
      </c>
      <c r="Q46" s="104"/>
      <c r="R46" s="104"/>
      <c r="S46" s="104"/>
      <c r="T46" s="104"/>
      <c r="U46" s="104"/>
      <c r="V46" s="105"/>
    </row>
    <row r="47" spans="1:23" ht="15" customHeight="1" x14ac:dyDescent="0.25">
      <c r="A47" s="10" t="str">
        <f>Cleaned_Data4[[#This Row],[Employee ID]]</f>
        <v>EMP1043</v>
      </c>
      <c r="B47" s="10" t="str">
        <f>IF(Cleaned_Data4[[#This Row],[Names]]="","Un-known",Cleaned_Data4[[#This Row],[Names]])</f>
        <v>Alice Brown</v>
      </c>
      <c r="C47" s="10" t="str">
        <f>IF(Cleaned_Data4[[#This Row],[Department]]="","Un-known",Cleaned_Data4[[#This Row],[Department]])</f>
        <v>Marketing</v>
      </c>
      <c r="D47" s="10" t="str">
        <f>IF(Cleaned_Data4[[#This Row],[Country]]="","Un-known",Cleaned_Data4[[#This Row],[Country]])</f>
        <v>Australia</v>
      </c>
      <c r="E47" s="35">
        <f>IF(Cleaned_Data4[[#This Row],[Salary]]="N/A","0",Cleaned_Data4[[#This Row],[Salary]])</f>
        <v>35326</v>
      </c>
      <c r="F47" s="36">
        <f>IF(Cleaned_Data4[[#This Row],[Date of Joining]]="","Un-known",Cleaned_Data4[[#This Row],[Date of Joining]])</f>
        <v>42309</v>
      </c>
      <c r="G47" s="39" t="str">
        <f>IF(Cleaned_Data4[[#This Row],[Performance Rating]]="","N/A",Cleaned_Data4[[#This Row],[Performance Rating]])</f>
        <v>N/A</v>
      </c>
      <c r="H47" s="10" t="str">
        <f>IF(Cleaned_Data4[[#This Row],[Gender]]="","Un-known",Cleaned_Data4[[#This Row],[Gender]])</f>
        <v>Female</v>
      </c>
      <c r="I47" s="10" t="str">
        <f>IF(Cleaned_Data4[[#This Row],[Email]]="","invalid_email",Cleaned_Data4[[#This Row],[Email]])</f>
        <v>user57@example.com</v>
      </c>
      <c r="K47" s="140" t="s">
        <v>5</v>
      </c>
      <c r="L47" s="95" t="s">
        <v>280</v>
      </c>
      <c r="M47" s="96"/>
      <c r="N47" s="10"/>
      <c r="O47" s="10"/>
      <c r="P47" s="106"/>
      <c r="Q47" s="107"/>
      <c r="R47" s="107"/>
      <c r="S47" s="107"/>
      <c r="T47" s="107"/>
      <c r="U47" s="107"/>
      <c r="V47" s="108"/>
      <c r="W47" s="43"/>
    </row>
    <row r="48" spans="1:23" ht="15" customHeight="1" x14ac:dyDescent="0.25">
      <c r="A48" s="10" t="str">
        <f>Cleaned_Data4[[#This Row],[Employee ID]]</f>
        <v>EMP1044</v>
      </c>
      <c r="B48" s="10" t="str">
        <f>IF(Cleaned_Data4[[#This Row],[Names]]="","Un-known",Cleaned_Data4[[#This Row],[Names]])</f>
        <v>Chris Lee</v>
      </c>
      <c r="C48" s="10" t="str">
        <f>IF(Cleaned_Data4[[#This Row],[Department]]="","Un-known",Cleaned_Data4[[#This Row],[Department]])</f>
        <v>Finance</v>
      </c>
      <c r="D48" s="10" t="str">
        <f>IF(Cleaned_Data4[[#This Row],[Country]]="","Un-known",Cleaned_Data4[[#This Row],[Country]])</f>
        <v>Un-known</v>
      </c>
      <c r="E48" s="35">
        <f>IF(Cleaned_Data4[[#This Row],[Salary]]="N/A","0",Cleaned_Data4[[#This Row],[Salary]])</f>
        <v>81610</v>
      </c>
      <c r="F48" s="36">
        <f>IF(Cleaned_Data4[[#This Row],[Date of Joining]]="","Un-known",Cleaned_Data4[[#This Row],[Date of Joining]])</f>
        <v>42316</v>
      </c>
      <c r="G48" s="39">
        <f>IF(Cleaned_Data4[[#This Row],[Performance Rating]]="","N/A",Cleaned_Data4[[#This Row],[Performance Rating]])</f>
        <v>1</v>
      </c>
      <c r="H48" s="10" t="str">
        <f>IF(Cleaned_Data4[[#This Row],[Gender]]="","Un-known",Cleaned_Data4[[#This Row],[Gender]])</f>
        <v>Un-known</v>
      </c>
      <c r="I48" s="10" t="str">
        <f>IF(Cleaned_Data4[[#This Row],[Email]]="","invalid_email",Cleaned_Data4[[#This Row],[Email]])</f>
        <v>user20@example.com</v>
      </c>
      <c r="K48" s="141"/>
      <c r="L48" s="57"/>
      <c r="M48" s="58"/>
      <c r="N48" s="10"/>
      <c r="O48" s="46"/>
      <c r="P48" s="46"/>
      <c r="Q48" s="46"/>
      <c r="R48" s="46"/>
      <c r="S48" s="46"/>
      <c r="T48" s="10"/>
      <c r="U48" s="10"/>
      <c r="V48" s="10"/>
      <c r="W48" s="46"/>
    </row>
    <row r="49" spans="1:23" x14ac:dyDescent="0.25">
      <c r="A49" s="10" t="str">
        <f>Cleaned_Data4[[#This Row],[Employee ID]]</f>
        <v>EMP1045</v>
      </c>
      <c r="B49" s="10" t="str">
        <f>IF(Cleaned_Data4[[#This Row],[Names]]="","Un-known",Cleaned_Data4[[#This Row],[Names]])</f>
        <v>Un-known</v>
      </c>
      <c r="C49" s="10" t="str">
        <f>IF(Cleaned_Data4[[#This Row],[Department]]="","Un-known",Cleaned_Data4[[#This Row],[Department]])</f>
        <v>HR</v>
      </c>
      <c r="D49" s="10" t="str">
        <f>IF(Cleaned_Data4[[#This Row],[Country]]="","Un-known",Cleaned_Data4[[#This Row],[Country]])</f>
        <v>Un-known</v>
      </c>
      <c r="E49" s="35">
        <f>IF(Cleaned_Data4[[#This Row],[Salary]]="N/A","0",Cleaned_Data4[[#This Row],[Salary]])</f>
        <v>58962</v>
      </c>
      <c r="F49" s="36">
        <f>IF(Cleaned_Data4[[#This Row],[Date of Joining]]="","Un-known",Cleaned_Data4[[#This Row],[Date of Joining]])</f>
        <v>42323</v>
      </c>
      <c r="G49" s="39">
        <f>IF(Cleaned_Data4[[#This Row],[Performance Rating]]="","N/A",Cleaned_Data4[[#This Row],[Performance Rating]])</f>
        <v>3</v>
      </c>
      <c r="H49" s="10" t="str">
        <f>IF(Cleaned_Data4[[#This Row],[Gender]]="","Un-known",Cleaned_Data4[[#This Row],[Gender]])</f>
        <v>Other</v>
      </c>
      <c r="I49" s="10" t="str">
        <f>IF(Cleaned_Data4[[#This Row],[Email]]="","invalid_email",Cleaned_Data4[[#This Row],[Email]])</f>
        <v>user106@example.com</v>
      </c>
      <c r="K49" s="111" cm="1">
        <f t="array" ref="K49:K52">_xlfn.UNIQUE(Cleaned_Data4[Date of Joining Year])</f>
        <v>1900</v>
      </c>
      <c r="L49" s="72">
        <f>COUNTIF('Raw data for day3'!G4:G153,'Day3'!K49)</f>
        <v>9</v>
      </c>
      <c r="M49" s="73"/>
      <c r="N49" s="10"/>
      <c r="O49" s="50" t="s">
        <v>325</v>
      </c>
      <c r="P49" s="50"/>
      <c r="Q49" s="50"/>
      <c r="R49" s="50"/>
      <c r="S49" s="50"/>
      <c r="T49" s="46"/>
      <c r="U49" s="46"/>
      <c r="V49" s="46"/>
      <c r="W49" s="46"/>
    </row>
    <row r="50" spans="1:23" x14ac:dyDescent="0.25">
      <c r="A50" s="10" t="str">
        <f>Cleaned_Data4[[#This Row],[Employee ID]]</f>
        <v>EMP1046</v>
      </c>
      <c r="B50" s="10" t="str">
        <f>IF(Cleaned_Data4[[#This Row],[Names]]="","Un-known",Cleaned_Data4[[#This Row],[Names]])</f>
        <v>Chris Lee</v>
      </c>
      <c r="C50" s="10" t="str">
        <f>IF(Cleaned_Data4[[#This Row],[Department]]="","Un-known",Cleaned_Data4[[#This Row],[Department]])</f>
        <v>IT</v>
      </c>
      <c r="D50" s="10" t="str">
        <f>IF(Cleaned_Data4[[#This Row],[Country]]="","Un-known",Cleaned_Data4[[#This Row],[Country]])</f>
        <v>Germany</v>
      </c>
      <c r="E50" s="35">
        <f>IF(Cleaned_Data4[[#This Row],[Salary]]="N/A","0",Cleaned_Data4[[#This Row],[Salary]])</f>
        <v>92701</v>
      </c>
      <c r="F50" s="36">
        <f>IF(Cleaned_Data4[[#This Row],[Date of Joining]]="","Un-known",Cleaned_Data4[[#This Row],[Date of Joining]])</f>
        <v>42330</v>
      </c>
      <c r="G50" s="39">
        <f>IF(Cleaned_Data4[[#This Row],[Performance Rating]]="","N/A",Cleaned_Data4[[#This Row],[Performance Rating]])</f>
        <v>3</v>
      </c>
      <c r="H50" s="10" t="str">
        <f>IF(Cleaned_Data4[[#This Row],[Gender]]="","Un-known",Cleaned_Data4[[#This Row],[Gender]])</f>
        <v>Other</v>
      </c>
      <c r="I50" s="10" t="str">
        <f>IF(Cleaned_Data4[[#This Row],[Email]]="","invalid_email",Cleaned_Data4[[#This Row],[Email]])</f>
        <v>user199@example.com</v>
      </c>
      <c r="K50" s="19">
        <v>2015</v>
      </c>
      <c r="L50" s="65">
        <f>COUNTIF('Raw data for day3'!$G$4:$G$153,'Day3'!K50)</f>
        <v>48</v>
      </c>
      <c r="M50" s="66"/>
      <c r="N50" s="10"/>
      <c r="O50" s="50"/>
      <c r="P50" s="50"/>
      <c r="Q50" s="50"/>
      <c r="R50" s="50"/>
      <c r="S50" s="50"/>
      <c r="T50" s="46"/>
      <c r="U50" s="46"/>
      <c r="V50" s="46"/>
      <c r="W50" s="46"/>
    </row>
    <row r="51" spans="1:23" x14ac:dyDescent="0.25">
      <c r="A51" s="10" t="str">
        <f>Cleaned_Data4[[#This Row],[Employee ID]]</f>
        <v>EMP1047</v>
      </c>
      <c r="B51" s="10" t="str">
        <f>IF(Cleaned_Data4[[#This Row],[Names]]="","Un-known",Cleaned_Data4[[#This Row],[Names]])</f>
        <v>Chris Lee</v>
      </c>
      <c r="C51" s="10" t="str">
        <f>IF(Cleaned_Data4[[#This Row],[Department]]="","Un-known",Cleaned_Data4[[#This Row],[Department]])</f>
        <v>HR</v>
      </c>
      <c r="D51" s="10" t="str">
        <f>IF(Cleaned_Data4[[#This Row],[Country]]="","Un-known",Cleaned_Data4[[#This Row],[Country]])</f>
        <v>India</v>
      </c>
      <c r="E51" s="35">
        <f>IF(Cleaned_Data4[[#This Row],[Salary]]="N/A","0",Cleaned_Data4[[#This Row],[Salary]])</f>
        <v>58245</v>
      </c>
      <c r="F51" s="36">
        <f>IF(Cleaned_Data4[[#This Row],[Date of Joining]]="","Un-known",Cleaned_Data4[[#This Row],[Date of Joining]])</f>
        <v>42337</v>
      </c>
      <c r="G51" s="39">
        <f>IF(Cleaned_Data4[[#This Row],[Performance Rating]]="","N/A",Cleaned_Data4[[#This Row],[Performance Rating]])</f>
        <v>4</v>
      </c>
      <c r="H51" s="10" t="str">
        <f>IF(Cleaned_Data4[[#This Row],[Gender]]="","Un-known",Cleaned_Data4[[#This Row],[Gender]])</f>
        <v>Un-known</v>
      </c>
      <c r="I51" s="10" t="str">
        <f>IF(Cleaned_Data4[[#This Row],[Email]]="","invalid_email",Cleaned_Data4[[#This Row],[Email]])</f>
        <v>user43@example.com</v>
      </c>
      <c r="K51" s="16">
        <v>2016</v>
      </c>
      <c r="L51" s="65">
        <f>COUNTIF('Raw data for day3'!$G$4:$G$153,'Day3'!K51)</f>
        <v>50</v>
      </c>
      <c r="M51" s="66"/>
      <c r="N51" s="10"/>
      <c r="O51" s="50" t="s">
        <v>326</v>
      </c>
      <c r="P51" s="50"/>
      <c r="Q51" s="50"/>
      <c r="R51" s="50"/>
      <c r="S51" s="50"/>
      <c r="T51" s="46"/>
      <c r="U51" s="46"/>
      <c r="V51" s="46"/>
      <c r="W51" s="10"/>
    </row>
    <row r="52" spans="1:23" x14ac:dyDescent="0.25">
      <c r="A52" s="10" t="str">
        <f>Cleaned_Data4[[#This Row],[Employee ID]]</f>
        <v>EMP1048</v>
      </c>
      <c r="B52" s="10" t="str">
        <f>IF(Cleaned_Data4[[#This Row],[Names]]="","Un-known",Cleaned_Data4[[#This Row],[Names]])</f>
        <v>John Doe</v>
      </c>
      <c r="C52" s="10" t="str">
        <f>IF(Cleaned_Data4[[#This Row],[Department]]="","Un-known",Cleaned_Data4[[#This Row],[Department]])</f>
        <v>Finance</v>
      </c>
      <c r="D52" s="10" t="str">
        <f>IF(Cleaned_Data4[[#This Row],[Country]]="","Un-known",Cleaned_Data4[[#This Row],[Country]])</f>
        <v>Un-known</v>
      </c>
      <c r="E52" s="35">
        <f>IF(Cleaned_Data4[[#This Row],[Salary]]="N/A","0",Cleaned_Data4[[#This Row],[Salary]])</f>
        <v>66513</v>
      </c>
      <c r="F52" s="36">
        <f>IF(Cleaned_Data4[[#This Row],[Date of Joining]]="","Un-known",Cleaned_Data4[[#This Row],[Date of Joining]])</f>
        <v>42344</v>
      </c>
      <c r="G52" s="39">
        <f>IF(Cleaned_Data4[[#This Row],[Performance Rating]]="","N/A",Cleaned_Data4[[#This Row],[Performance Rating]])</f>
        <v>2</v>
      </c>
      <c r="H52" s="10" t="str">
        <f>IF(Cleaned_Data4[[#This Row],[Gender]]="","Un-known",Cleaned_Data4[[#This Row],[Gender]])</f>
        <v>Other</v>
      </c>
      <c r="I52" s="10" t="str">
        <f>IF(Cleaned_Data4[[#This Row],[Email]]="","invalid_email",Cleaned_Data4[[#This Row],[Email]])</f>
        <v>user24@example.com</v>
      </c>
      <c r="K52" s="18">
        <v>2017</v>
      </c>
      <c r="L52" s="113">
        <f>COUNTIF('Raw data for day3'!$G$4:$G$153,'Day3'!K52)</f>
        <v>43</v>
      </c>
      <c r="M52" s="70"/>
      <c r="N52" s="117"/>
      <c r="O52" s="50"/>
      <c r="P52" s="50"/>
      <c r="Q52" s="50"/>
      <c r="R52" s="50"/>
      <c r="S52" s="50"/>
      <c r="T52" s="46"/>
      <c r="U52" s="46"/>
      <c r="V52" s="46"/>
      <c r="W52" s="10"/>
    </row>
    <row r="53" spans="1:23" x14ac:dyDescent="0.25">
      <c r="A53" s="10" t="str">
        <f>Cleaned_Data4[[#This Row],[Employee ID]]</f>
        <v>EMP1049</v>
      </c>
      <c r="B53" s="10" t="str">
        <f>IF(Cleaned_Data4[[#This Row],[Names]]="","Un-known",Cleaned_Data4[[#This Row],[Names]])</f>
        <v>Eve Adams</v>
      </c>
      <c r="C53" s="10" t="str">
        <f>IF(Cleaned_Data4[[#This Row],[Department]]="","Un-known",Cleaned_Data4[[#This Row],[Department]])</f>
        <v>HR</v>
      </c>
      <c r="D53" s="10" t="str">
        <f>IF(Cleaned_Data4[[#This Row],[Country]]="","Un-known",Cleaned_Data4[[#This Row],[Country]])</f>
        <v>Germany</v>
      </c>
      <c r="E53" s="35">
        <f>IF(Cleaned_Data4[[#This Row],[Salary]]="N/A","0",Cleaned_Data4[[#This Row],[Salary]])</f>
        <v>78720</v>
      </c>
      <c r="F53" s="36">
        <f>IF(Cleaned_Data4[[#This Row],[Date of Joining]]="","Un-known",Cleaned_Data4[[#This Row],[Date of Joining]])</f>
        <v>42351</v>
      </c>
      <c r="G53" s="39">
        <f>IF(Cleaned_Data4[[#This Row],[Performance Rating]]="","N/A",Cleaned_Data4[[#This Row],[Performance Rating]])</f>
        <v>5</v>
      </c>
      <c r="H53" s="10" t="str">
        <f>IF(Cleaned_Data4[[#This Row],[Gender]]="","Un-known",Cleaned_Data4[[#This Row],[Gender]])</f>
        <v>Female</v>
      </c>
      <c r="I53" s="10" t="str">
        <f>IF(Cleaned_Data4[[#This Row],[Email]]="","invalid_email",Cleaned_Data4[[#This Row],[Email]])</f>
        <v>user89@example.com</v>
      </c>
      <c r="K53" s="41" t="s">
        <v>279</v>
      </c>
      <c r="L53" s="71">
        <f>SUM(L49:M52)</f>
        <v>150</v>
      </c>
      <c r="M53" s="71"/>
      <c r="O53" s="51" t="s">
        <v>304</v>
      </c>
      <c r="P53" s="51"/>
      <c r="Q53" s="51"/>
      <c r="R53" s="51"/>
      <c r="S53" s="51"/>
    </row>
    <row r="54" spans="1:23" x14ac:dyDescent="0.25">
      <c r="A54" s="10" t="str">
        <f>Cleaned_Data4[[#This Row],[Employee ID]]</f>
        <v>EMP1050</v>
      </c>
      <c r="B54" s="10" t="str">
        <f>IF(Cleaned_Data4[[#This Row],[Names]]="","Un-known",Cleaned_Data4[[#This Row],[Names]])</f>
        <v>Chris Lee</v>
      </c>
      <c r="C54" s="10" t="str">
        <f>IF(Cleaned_Data4[[#This Row],[Department]]="","Un-known",Cleaned_Data4[[#This Row],[Department]])</f>
        <v>Un-known</v>
      </c>
      <c r="D54" s="10" t="str">
        <f>IF(Cleaned_Data4[[#This Row],[Country]]="","Un-known",Cleaned_Data4[[#This Row],[Country]])</f>
        <v>Un-known</v>
      </c>
      <c r="E54" s="35">
        <f>IF(Cleaned_Data4[[#This Row],[Salary]]="N/A","0",Cleaned_Data4[[#This Row],[Salary]])</f>
        <v>30686</v>
      </c>
      <c r="F54" s="36" t="str">
        <f>IF(Cleaned_Data4[[#This Row],[Date of Joining]]="","Un-known",Cleaned_Data4[[#This Row],[Date of Joining]])</f>
        <v>Un-known</v>
      </c>
      <c r="G54" s="39">
        <f>IF(Cleaned_Data4[[#This Row],[Performance Rating]]="","N/A",Cleaned_Data4[[#This Row],[Performance Rating]])</f>
        <v>2</v>
      </c>
      <c r="H54" s="10" t="str">
        <f>IF(Cleaned_Data4[[#This Row],[Gender]]="","Un-known",Cleaned_Data4[[#This Row],[Gender]])</f>
        <v>Female</v>
      </c>
      <c r="I54" s="10" t="str">
        <f>IF(Cleaned_Data4[[#This Row],[Email]]="","invalid_email",Cleaned_Data4[[#This Row],[Email]])</f>
        <v>user95@example.com</v>
      </c>
    </row>
    <row r="55" spans="1:23" x14ac:dyDescent="0.25">
      <c r="A55" s="10" t="str">
        <f>Cleaned_Data4[[#This Row],[Employee ID]]</f>
        <v>EMP1051</v>
      </c>
      <c r="B55" s="10" t="str">
        <f>IF(Cleaned_Data4[[#This Row],[Names]]="","Un-known",Cleaned_Data4[[#This Row],[Names]])</f>
        <v>Sam Wilson</v>
      </c>
      <c r="C55" s="10" t="str">
        <f>IF(Cleaned_Data4[[#This Row],[Department]]="","Un-known",Cleaned_Data4[[#This Row],[Department]])</f>
        <v>Sales</v>
      </c>
      <c r="D55" s="10" t="str">
        <f>IF(Cleaned_Data4[[#This Row],[Country]]="","Un-known",Cleaned_Data4[[#This Row],[Country]])</f>
        <v>India</v>
      </c>
      <c r="E55" s="35">
        <f>IF(Cleaned_Data4[[#This Row],[Salary]]="N/A","0",Cleaned_Data4[[#This Row],[Salary]])</f>
        <v>39423</v>
      </c>
      <c r="F55" s="36">
        <f>IF(Cleaned_Data4[[#This Row],[Date of Joining]]="","Un-known",Cleaned_Data4[[#This Row],[Date of Joining]])</f>
        <v>42365</v>
      </c>
      <c r="G55" s="39">
        <f>IF(Cleaned_Data4[[#This Row],[Performance Rating]]="","N/A",Cleaned_Data4[[#This Row],[Performance Rating]])</f>
        <v>5</v>
      </c>
      <c r="H55" s="10" t="str">
        <f>IF(Cleaned_Data4[[#This Row],[Gender]]="","Un-known",Cleaned_Data4[[#This Row],[Gender]])</f>
        <v>Un-known</v>
      </c>
      <c r="I55" s="10" t="str">
        <f>IF(Cleaned_Data4[[#This Row],[Email]]="","invalid_email",Cleaned_Data4[[#This Row],[Email]])</f>
        <v>user59@example.com</v>
      </c>
    </row>
    <row r="56" spans="1:23" x14ac:dyDescent="0.25">
      <c r="A56" s="10" t="str">
        <f>Cleaned_Data4[[#This Row],[Employee ID]]</f>
        <v>EMP1052</v>
      </c>
      <c r="B56" s="10" t="str">
        <f>IF(Cleaned_Data4[[#This Row],[Names]]="","Un-known",Cleaned_Data4[[#This Row],[Names]])</f>
        <v>Eve Adams</v>
      </c>
      <c r="C56" s="10" t="str">
        <f>IF(Cleaned_Data4[[#This Row],[Department]]="","Un-known",Cleaned_Data4[[#This Row],[Department]])</f>
        <v>Marketing</v>
      </c>
      <c r="D56" s="10" t="str">
        <f>IF(Cleaned_Data4[[#This Row],[Country]]="","Un-known",Cleaned_Data4[[#This Row],[Country]])</f>
        <v>Un-known</v>
      </c>
      <c r="E56" s="35">
        <f>IF(Cleaned_Data4[[#This Row],[Salary]]="N/A","0",Cleaned_Data4[[#This Row],[Salary]])</f>
        <v>30280</v>
      </c>
      <c r="F56" s="36">
        <f>IF(Cleaned_Data4[[#This Row],[Date of Joining]]="","Un-known",Cleaned_Data4[[#This Row],[Date of Joining]])</f>
        <v>42372</v>
      </c>
      <c r="G56" s="39">
        <f>IF(Cleaned_Data4[[#This Row],[Performance Rating]]="","N/A",Cleaned_Data4[[#This Row],[Performance Rating]])</f>
        <v>1</v>
      </c>
      <c r="H56" s="10" t="str">
        <f>IF(Cleaned_Data4[[#This Row],[Gender]]="","Un-known",Cleaned_Data4[[#This Row],[Gender]])</f>
        <v>Un-known</v>
      </c>
      <c r="I56" s="10" t="str">
        <f>IF(Cleaned_Data4[[#This Row],[Email]]="","invalid_email",Cleaned_Data4[[#This Row],[Email]])</f>
        <v>user152@example.com</v>
      </c>
      <c r="K56" s="89" t="s">
        <v>294</v>
      </c>
      <c r="L56" s="90"/>
      <c r="M56" s="91"/>
      <c r="O56" s="45"/>
      <c r="P56" s="45"/>
      <c r="Q56" s="45"/>
      <c r="S56" s="46"/>
    </row>
    <row r="57" spans="1:23" x14ac:dyDescent="0.25">
      <c r="A57" s="10" t="str">
        <f>Cleaned_Data4[[#This Row],[Employee ID]]</f>
        <v>EMP1053</v>
      </c>
      <c r="B57" s="10" t="str">
        <f>IF(Cleaned_Data4[[#This Row],[Names]]="","Un-known",Cleaned_Data4[[#This Row],[Names]])</f>
        <v>Eve Adams</v>
      </c>
      <c r="C57" s="10" t="str">
        <f>IF(Cleaned_Data4[[#This Row],[Department]]="","Un-known",Cleaned_Data4[[#This Row],[Department]])</f>
        <v>Finance</v>
      </c>
      <c r="D57" s="10" t="str">
        <f>IF(Cleaned_Data4[[#This Row],[Country]]="","Un-known",Cleaned_Data4[[#This Row],[Country]])</f>
        <v>UK</v>
      </c>
      <c r="E57" s="35">
        <f>IF(Cleaned_Data4[[#This Row],[Salary]]="N/A","0",Cleaned_Data4[[#This Row],[Salary]])</f>
        <v>33352</v>
      </c>
      <c r="F57" s="36">
        <f>IF(Cleaned_Data4[[#This Row],[Date of Joining]]="","Un-known",Cleaned_Data4[[#This Row],[Date of Joining]])</f>
        <v>42379</v>
      </c>
      <c r="G57" s="39">
        <f>IF(Cleaned_Data4[[#This Row],[Performance Rating]]="","N/A",Cleaned_Data4[[#This Row],[Performance Rating]])</f>
        <v>3</v>
      </c>
      <c r="H57" s="10" t="str">
        <f>IF(Cleaned_Data4[[#This Row],[Gender]]="","Un-known",Cleaned_Data4[[#This Row],[Gender]])</f>
        <v>Female</v>
      </c>
      <c r="I57" s="10" t="str">
        <f>IF(Cleaned_Data4[[#This Row],[Email]]="","invalid_email",Cleaned_Data4[[#This Row],[Email]])</f>
        <v>user200@example.com</v>
      </c>
      <c r="K57" s="92"/>
      <c r="L57" s="93"/>
      <c r="M57" s="94"/>
      <c r="S57" s="46"/>
      <c r="T57" s="46"/>
      <c r="U57" s="46"/>
      <c r="V57" s="46"/>
    </row>
    <row r="58" spans="1:23" x14ac:dyDescent="0.25">
      <c r="A58" s="10" t="str">
        <f>Cleaned_Data4[[#This Row],[Employee ID]]</f>
        <v>EMP1054</v>
      </c>
      <c r="B58" s="10" t="str">
        <f>IF(Cleaned_Data4[[#This Row],[Names]]="","Un-known",Cleaned_Data4[[#This Row],[Names]])</f>
        <v>Bob Johnson</v>
      </c>
      <c r="C58" s="10" t="str">
        <f>IF(Cleaned_Data4[[#This Row],[Department]]="","Un-known",Cleaned_Data4[[#This Row],[Department]])</f>
        <v>Marketing</v>
      </c>
      <c r="D58" s="10" t="str">
        <f>IF(Cleaned_Data4[[#This Row],[Country]]="","Un-known",Cleaned_Data4[[#This Row],[Country]])</f>
        <v>UK</v>
      </c>
      <c r="E58" s="35">
        <f>IF(Cleaned_Data4[[#This Row],[Salary]]="N/A","0",Cleaned_Data4[[#This Row],[Salary]])</f>
        <v>75633</v>
      </c>
      <c r="F58" s="36">
        <f>IF(Cleaned_Data4[[#This Row],[Date of Joining]]="","Un-known",Cleaned_Data4[[#This Row],[Date of Joining]])</f>
        <v>42386</v>
      </c>
      <c r="G58" s="39">
        <f>IF(Cleaned_Data4[[#This Row],[Performance Rating]]="","N/A",Cleaned_Data4[[#This Row],[Performance Rating]])</f>
        <v>5</v>
      </c>
      <c r="H58" s="10" t="str">
        <f>IF(Cleaned_Data4[[#This Row],[Gender]]="","Un-known",Cleaned_Data4[[#This Row],[Gender]])</f>
        <v>Other</v>
      </c>
      <c r="I58" s="10" t="str">
        <f>IF(Cleaned_Data4[[#This Row],[Email]]="","invalid_email",Cleaned_Data4[[#This Row],[Email]])</f>
        <v>user92@example.com</v>
      </c>
      <c r="K58" s="88" t="s">
        <v>7</v>
      </c>
      <c r="L58" s="95" t="s">
        <v>282</v>
      </c>
      <c r="M58" s="96"/>
      <c r="T58" s="46"/>
      <c r="U58" s="46"/>
      <c r="V58" s="46"/>
    </row>
    <row r="59" spans="1:23" x14ac:dyDescent="0.25">
      <c r="A59" s="10" t="str">
        <f>Cleaned_Data4[[#This Row],[Employee ID]]</f>
        <v>EMP1055</v>
      </c>
      <c r="B59" s="10" t="str">
        <f>IF(Cleaned_Data4[[#This Row],[Names]]="","Un-known",Cleaned_Data4[[#This Row],[Names]])</f>
        <v>Chris Lee</v>
      </c>
      <c r="C59" s="10" t="str">
        <f>IF(Cleaned_Data4[[#This Row],[Department]]="","Un-known",Cleaned_Data4[[#This Row],[Department]])</f>
        <v>Un-known</v>
      </c>
      <c r="D59" s="10" t="str">
        <f>IF(Cleaned_Data4[[#This Row],[Country]]="","Un-known",Cleaned_Data4[[#This Row],[Country]])</f>
        <v>USA</v>
      </c>
      <c r="E59" s="35">
        <f>IF(Cleaned_Data4[[#This Row],[Salary]]="N/A","0",Cleaned_Data4[[#This Row],[Salary]])</f>
        <v>74815</v>
      </c>
      <c r="F59" s="36">
        <f>IF(Cleaned_Data4[[#This Row],[Date of Joining]]="","Un-known",Cleaned_Data4[[#This Row],[Date of Joining]])</f>
        <v>42393</v>
      </c>
      <c r="G59" s="39">
        <f>IF(Cleaned_Data4[[#This Row],[Performance Rating]]="","N/A",Cleaned_Data4[[#This Row],[Performance Rating]])</f>
        <v>5</v>
      </c>
      <c r="H59" s="10" t="str">
        <f>IF(Cleaned_Data4[[#This Row],[Gender]]="","Un-known",Cleaned_Data4[[#This Row],[Gender]])</f>
        <v>Female</v>
      </c>
      <c r="I59" s="10" t="str">
        <f>IF(Cleaned_Data4[[#This Row],[Email]]="","invalid_email",Cleaned_Data4[[#This Row],[Email]])</f>
        <v>user50@example.com</v>
      </c>
      <c r="K59" s="59"/>
      <c r="L59" s="57"/>
      <c r="M59" s="58"/>
    </row>
    <row r="60" spans="1:23" x14ac:dyDescent="0.25">
      <c r="A60" s="10" t="str">
        <f>Cleaned_Data4[[#This Row],[Employee ID]]</f>
        <v>EMP1056</v>
      </c>
      <c r="B60" s="10" t="str">
        <f>IF(Cleaned_Data4[[#This Row],[Names]]="","Un-known",Cleaned_Data4[[#This Row],[Names]])</f>
        <v>John Doe</v>
      </c>
      <c r="C60" s="10" t="str">
        <f>IF(Cleaned_Data4[[#This Row],[Department]]="","Un-known",Cleaned_Data4[[#This Row],[Department]])</f>
        <v>Sales</v>
      </c>
      <c r="D60" s="10" t="str">
        <f>IF(Cleaned_Data4[[#This Row],[Country]]="","Un-known",Cleaned_Data4[[#This Row],[Country]])</f>
        <v>Australia</v>
      </c>
      <c r="E60" s="35">
        <f>IF(Cleaned_Data4[[#This Row],[Salary]]="N/A","0",Cleaned_Data4[[#This Row],[Salary]])</f>
        <v>60011</v>
      </c>
      <c r="F60" s="36">
        <f>IF(Cleaned_Data4[[#This Row],[Date of Joining]]="","Un-known",Cleaned_Data4[[#This Row],[Date of Joining]])</f>
        <v>42400</v>
      </c>
      <c r="G60" s="39">
        <f>IF(Cleaned_Data4[[#This Row],[Performance Rating]]="","N/A",Cleaned_Data4[[#This Row],[Performance Rating]])</f>
        <v>1</v>
      </c>
      <c r="H60" s="10" t="str">
        <f>IF(Cleaned_Data4[[#This Row],[Gender]]="","Un-known",Cleaned_Data4[[#This Row],[Gender]])</f>
        <v>Male</v>
      </c>
      <c r="I60" s="10" t="str">
        <f>IF(Cleaned_Data4[[#This Row],[Email]]="","invalid_email",Cleaned_Data4[[#This Row],[Email]])</f>
        <v>user63@example.com</v>
      </c>
      <c r="K60" s="15" t="str" cm="1">
        <f t="array" ref="K60:K64">_xlfn.UNIQUE(Cleaned_Data4[Gender])</f>
        <v>Unknown</v>
      </c>
      <c r="L60" s="83">
        <f>COUNTIF('Raw data for day3'!$I$4:$I$153,K60)</f>
        <v>5</v>
      </c>
      <c r="M60" s="64"/>
      <c r="O60" s="49" t="s">
        <v>305</v>
      </c>
      <c r="P60" s="49"/>
      <c r="Q60" s="49"/>
      <c r="R60" s="49"/>
      <c r="S60" s="49"/>
    </row>
    <row r="61" spans="1:23" x14ac:dyDescent="0.25">
      <c r="A61" s="10" t="str">
        <f>Cleaned_Data4[[#This Row],[Employee ID]]</f>
        <v>EMP1057</v>
      </c>
      <c r="B61" s="10" t="str">
        <f>IF(Cleaned_Data4[[#This Row],[Names]]="","Un-known",Cleaned_Data4[[#This Row],[Names]])</f>
        <v>Eve Adams</v>
      </c>
      <c r="C61" s="10" t="str">
        <f>IF(Cleaned_Data4[[#This Row],[Department]]="","Un-known",Cleaned_Data4[[#This Row],[Department]])</f>
        <v>Un-known</v>
      </c>
      <c r="D61" s="10" t="str">
        <f>IF(Cleaned_Data4[[#This Row],[Country]]="","Un-known",Cleaned_Data4[[#This Row],[Country]])</f>
        <v>India</v>
      </c>
      <c r="E61" s="35">
        <f>IF(Cleaned_Data4[[#This Row],[Salary]]="N/A","0",Cleaned_Data4[[#This Row],[Salary]])</f>
        <v>96949</v>
      </c>
      <c r="F61" s="36">
        <f>IF(Cleaned_Data4[[#This Row],[Date of Joining]]="","Un-known",Cleaned_Data4[[#This Row],[Date of Joining]])</f>
        <v>42407</v>
      </c>
      <c r="G61" s="39">
        <f>IF(Cleaned_Data4[[#This Row],[Performance Rating]]="","N/A",Cleaned_Data4[[#This Row],[Performance Rating]])</f>
        <v>3</v>
      </c>
      <c r="H61" s="10" t="str">
        <f>IF(Cleaned_Data4[[#This Row],[Gender]]="","Un-known",Cleaned_Data4[[#This Row],[Gender]])</f>
        <v>Un-known</v>
      </c>
      <c r="I61" s="10" t="str">
        <f>IF(Cleaned_Data4[[#This Row],[Email]]="","invalid_email",Cleaned_Data4[[#This Row],[Email]])</f>
        <v>user103@example.com</v>
      </c>
      <c r="K61" s="16" t="str">
        <v>Other</v>
      </c>
      <c r="L61" s="65">
        <f>COUNTIF('Raw data for day3'!$I$4:$I$153,K61)</f>
        <v>35</v>
      </c>
      <c r="M61" s="66"/>
      <c r="O61" s="49"/>
      <c r="P61" s="49"/>
      <c r="Q61" s="49"/>
      <c r="R61" s="49"/>
      <c r="S61" s="49"/>
    </row>
    <row r="62" spans="1:23" x14ac:dyDescent="0.25">
      <c r="A62" s="10" t="str">
        <f>Cleaned_Data4[[#This Row],[Employee ID]]</f>
        <v>EMP1058</v>
      </c>
      <c r="B62" s="10" t="str">
        <f>IF(Cleaned_Data4[[#This Row],[Names]]="","Un-known",Cleaned_Data4[[#This Row],[Names]])</f>
        <v>Sam Wilson</v>
      </c>
      <c r="C62" s="10" t="str">
        <f>IF(Cleaned_Data4[[#This Row],[Department]]="","Un-known",Cleaned_Data4[[#This Row],[Department]])</f>
        <v>Marketing</v>
      </c>
      <c r="D62" s="10" t="str">
        <f>IF(Cleaned_Data4[[#This Row],[Country]]="","Un-known",Cleaned_Data4[[#This Row],[Country]])</f>
        <v>Un-known</v>
      </c>
      <c r="E62" s="35">
        <f>IF(Cleaned_Data4[[#This Row],[Salary]]="N/A","0",Cleaned_Data4[[#This Row],[Salary]])</f>
        <v>84924</v>
      </c>
      <c r="F62" s="36">
        <f>IF(Cleaned_Data4[[#This Row],[Date of Joining]]="","Un-known",Cleaned_Data4[[#This Row],[Date of Joining]])</f>
        <v>42414</v>
      </c>
      <c r="G62" s="39">
        <f>IF(Cleaned_Data4[[#This Row],[Performance Rating]]="","N/A",Cleaned_Data4[[#This Row],[Performance Rating]])</f>
        <v>5</v>
      </c>
      <c r="H62" s="10" t="str">
        <f>IF(Cleaned_Data4[[#This Row],[Gender]]="","Un-known",Cleaned_Data4[[#This Row],[Gender]])</f>
        <v>Male</v>
      </c>
      <c r="I62" s="10" t="str">
        <f>IF(Cleaned_Data4[[#This Row],[Email]]="","invalid_email",Cleaned_Data4[[#This Row],[Email]])</f>
        <v>user150@example.com</v>
      </c>
      <c r="K62" s="17" t="str">
        <v/>
      </c>
      <c r="L62" s="67">
        <f>COUNTIF('Raw data for day3'!$I$4:$I$153,K62)</f>
        <v>44</v>
      </c>
      <c r="M62" s="68"/>
      <c r="O62" s="49" t="s">
        <v>310</v>
      </c>
      <c r="P62" s="49"/>
      <c r="Q62" s="49"/>
      <c r="R62" s="49"/>
      <c r="S62" s="49"/>
    </row>
    <row r="63" spans="1:23" x14ac:dyDescent="0.25">
      <c r="A63" s="10" t="str">
        <f>Cleaned_Data4[[#This Row],[Employee ID]]</f>
        <v>EMP1059</v>
      </c>
      <c r="B63" s="10" t="str">
        <f>IF(Cleaned_Data4[[#This Row],[Names]]="","Un-known",Cleaned_Data4[[#This Row],[Names]])</f>
        <v>Sam Wilson</v>
      </c>
      <c r="C63" s="10" t="str">
        <f>IF(Cleaned_Data4[[#This Row],[Department]]="","Un-known",Cleaned_Data4[[#This Row],[Department]])</f>
        <v>Finance</v>
      </c>
      <c r="D63" s="10" t="str">
        <f>IF(Cleaned_Data4[[#This Row],[Country]]="","Un-known",Cleaned_Data4[[#This Row],[Country]])</f>
        <v>USA</v>
      </c>
      <c r="E63" s="35">
        <f>IF(Cleaned_Data4[[#This Row],[Salary]]="N/A","0",Cleaned_Data4[[#This Row],[Salary]])</f>
        <v>82033</v>
      </c>
      <c r="F63" s="36">
        <f>IF(Cleaned_Data4[[#This Row],[Date of Joining]]="","Un-known",Cleaned_Data4[[#This Row],[Date of Joining]])</f>
        <v>42421</v>
      </c>
      <c r="G63" s="39">
        <f>IF(Cleaned_Data4[[#This Row],[Performance Rating]]="","N/A",Cleaned_Data4[[#This Row],[Performance Rating]])</f>
        <v>1</v>
      </c>
      <c r="H63" s="10" t="str">
        <f>IF(Cleaned_Data4[[#This Row],[Gender]]="","Un-known",Cleaned_Data4[[#This Row],[Gender]])</f>
        <v>Un-known</v>
      </c>
      <c r="I63" s="10" t="str">
        <f>IF(Cleaned_Data4[[#This Row],[Email]]="","invalid_email",Cleaned_Data4[[#This Row],[Email]])</f>
        <v>user20@example.com</v>
      </c>
      <c r="K63" s="16" t="str">
        <v>Male</v>
      </c>
      <c r="L63" s="69">
        <f>COUNTIF('Raw data for day3'!$I$4:$I$153,K63)</f>
        <v>32</v>
      </c>
      <c r="M63" s="66"/>
      <c r="O63" s="49"/>
      <c r="P63" s="49"/>
      <c r="Q63" s="49"/>
      <c r="R63" s="49"/>
      <c r="S63" s="49"/>
    </row>
    <row r="64" spans="1:23" x14ac:dyDescent="0.25">
      <c r="A64" s="10" t="str">
        <f>Cleaned_Data4[[#This Row],[Employee ID]]</f>
        <v>EMP1060</v>
      </c>
      <c r="B64" s="10" t="str">
        <f>IF(Cleaned_Data4[[#This Row],[Names]]="","Un-known",Cleaned_Data4[[#This Row],[Names]])</f>
        <v>Un-known</v>
      </c>
      <c r="C64" s="10" t="str">
        <f>IF(Cleaned_Data4[[#This Row],[Department]]="","Un-known",Cleaned_Data4[[#This Row],[Department]])</f>
        <v>Marketing</v>
      </c>
      <c r="D64" s="10" t="str">
        <f>IF(Cleaned_Data4[[#This Row],[Country]]="","Un-known",Cleaned_Data4[[#This Row],[Country]])</f>
        <v>Germany</v>
      </c>
      <c r="E64" s="35" t="str">
        <f>IF(Cleaned_Data4[[#This Row],[Salary]]="N/A","0",Cleaned_Data4[[#This Row],[Salary]])</f>
        <v>0</v>
      </c>
      <c r="F64" s="36" t="str">
        <f>IF(Cleaned_Data4[[#This Row],[Date of Joining]]="","Un-known",Cleaned_Data4[[#This Row],[Date of Joining]])</f>
        <v>Un-known</v>
      </c>
      <c r="G64" s="39">
        <f>IF(Cleaned_Data4[[#This Row],[Performance Rating]]="","N/A",Cleaned_Data4[[#This Row],[Performance Rating]])</f>
        <v>5</v>
      </c>
      <c r="H64" s="10" t="str">
        <f>IF(Cleaned_Data4[[#This Row],[Gender]]="","Un-known",Cleaned_Data4[[#This Row],[Gender]])</f>
        <v>Unknown</v>
      </c>
      <c r="I64" s="10" t="str">
        <f>IF(Cleaned_Data4[[#This Row],[Email]]="","invalid_email",Cleaned_Data4[[#This Row],[Email]])</f>
        <v>user112@example.com</v>
      </c>
      <c r="K64" s="18" t="str">
        <v>Female</v>
      </c>
      <c r="L64" s="113">
        <f>COUNTIF('Raw data for day3'!$I$4:$I$153,K64)</f>
        <v>34</v>
      </c>
      <c r="M64" s="70"/>
    </row>
    <row r="65" spans="1:23" x14ac:dyDescent="0.25">
      <c r="A65" s="10" t="str">
        <f>Cleaned_Data4[[#This Row],[Employee ID]]</f>
        <v>EMP1061</v>
      </c>
      <c r="B65" s="10" t="str">
        <f>IF(Cleaned_Data4[[#This Row],[Names]]="","Un-known",Cleaned_Data4[[#This Row],[Names]])</f>
        <v>Eve Adams</v>
      </c>
      <c r="C65" s="10" t="str">
        <f>IF(Cleaned_Data4[[#This Row],[Department]]="","Un-known",Cleaned_Data4[[#This Row],[Department]])</f>
        <v>Un-known</v>
      </c>
      <c r="D65" s="10" t="str">
        <f>IF(Cleaned_Data4[[#This Row],[Country]]="","Un-known",Cleaned_Data4[[#This Row],[Country]])</f>
        <v>Australia</v>
      </c>
      <c r="E65" s="35">
        <f>IF(Cleaned_Data4[[#This Row],[Salary]]="N/A","0",Cleaned_Data4[[#This Row],[Salary]])</f>
        <v>31499</v>
      </c>
      <c r="F65" s="36">
        <f>IF(Cleaned_Data4[[#This Row],[Date of Joining]]="","Un-known",Cleaned_Data4[[#This Row],[Date of Joining]])</f>
        <v>42435</v>
      </c>
      <c r="G65" s="39">
        <f>IF(Cleaned_Data4[[#This Row],[Performance Rating]]="","N/A",Cleaned_Data4[[#This Row],[Performance Rating]])</f>
        <v>2</v>
      </c>
      <c r="H65" s="10" t="str">
        <f>IF(Cleaned_Data4[[#This Row],[Gender]]="","Un-known",Cleaned_Data4[[#This Row],[Gender]])</f>
        <v>Un-known</v>
      </c>
      <c r="I65" s="10" t="str">
        <f>IF(Cleaned_Data4[[#This Row],[Email]]="","invalid_email",Cleaned_Data4[[#This Row],[Email]])</f>
        <v>user31@example.com</v>
      </c>
      <c r="K65" s="41" t="s">
        <v>279</v>
      </c>
      <c r="L65" s="52">
        <f>SUM(L60:M64)</f>
        <v>150</v>
      </c>
      <c r="M65" s="53"/>
    </row>
    <row r="66" spans="1:23" x14ac:dyDescent="0.25">
      <c r="A66" s="10" t="str">
        <f>Cleaned_Data4[[#This Row],[Employee ID]]</f>
        <v>EMP1062</v>
      </c>
      <c r="B66" s="10" t="str">
        <f>IF(Cleaned_Data4[[#This Row],[Names]]="","Un-known",Cleaned_Data4[[#This Row],[Names]])</f>
        <v>Chris Lee</v>
      </c>
      <c r="C66" s="10" t="str">
        <f>IF(Cleaned_Data4[[#This Row],[Department]]="","Un-known",Cleaned_Data4[[#This Row],[Department]])</f>
        <v>IT</v>
      </c>
      <c r="D66" s="10" t="str">
        <f>IF(Cleaned_Data4[[#This Row],[Country]]="","Un-known",Cleaned_Data4[[#This Row],[Country]])</f>
        <v>UK</v>
      </c>
      <c r="E66" s="35">
        <f>IF(Cleaned_Data4[[#This Row],[Salary]]="N/A","0",Cleaned_Data4[[#This Row],[Salary]])</f>
        <v>97981</v>
      </c>
      <c r="F66" s="36">
        <f>IF(Cleaned_Data4[[#This Row],[Date of Joining]]="","Un-known",Cleaned_Data4[[#This Row],[Date of Joining]])</f>
        <v>42442</v>
      </c>
      <c r="G66" s="39">
        <f>IF(Cleaned_Data4[[#This Row],[Performance Rating]]="","N/A",Cleaned_Data4[[#This Row],[Performance Rating]])</f>
        <v>5</v>
      </c>
      <c r="H66" s="10" t="str">
        <f>IF(Cleaned_Data4[[#This Row],[Gender]]="","Un-known",Cleaned_Data4[[#This Row],[Gender]])</f>
        <v>Female</v>
      </c>
      <c r="I66" s="10" t="str">
        <f>IF(Cleaned_Data4[[#This Row],[Email]]="","invalid_email",Cleaned_Data4[[#This Row],[Email]])</f>
        <v>user71@example.com</v>
      </c>
    </row>
    <row r="67" spans="1:23" x14ac:dyDescent="0.25">
      <c r="A67" s="10" t="str">
        <f>Cleaned_Data4[[#This Row],[Employee ID]]</f>
        <v>EMP1063</v>
      </c>
      <c r="B67" s="10" t="str">
        <f>IF(Cleaned_Data4[[#This Row],[Names]]="","Un-known",Cleaned_Data4[[#This Row],[Names]])</f>
        <v>Eve Adams</v>
      </c>
      <c r="C67" s="10" t="str">
        <f>IF(Cleaned_Data4[[#This Row],[Department]]="","Un-known",Cleaned_Data4[[#This Row],[Department]])</f>
        <v>HR</v>
      </c>
      <c r="D67" s="10" t="str">
        <f>IF(Cleaned_Data4[[#This Row],[Country]]="","Un-known",Cleaned_Data4[[#This Row],[Country]])</f>
        <v>USA</v>
      </c>
      <c r="E67" s="35">
        <f>IF(Cleaned_Data4[[#This Row],[Salary]]="N/A","0",Cleaned_Data4[[#This Row],[Salary]])</f>
        <v>36541</v>
      </c>
      <c r="F67" s="36">
        <f>IF(Cleaned_Data4[[#This Row],[Date of Joining]]="","Un-known",Cleaned_Data4[[#This Row],[Date of Joining]])</f>
        <v>42449</v>
      </c>
      <c r="G67" s="39">
        <f>IF(Cleaned_Data4[[#This Row],[Performance Rating]]="","N/A",Cleaned_Data4[[#This Row],[Performance Rating]])</f>
        <v>2</v>
      </c>
      <c r="H67" s="10" t="str">
        <f>IF(Cleaned_Data4[[#This Row],[Gender]]="","Un-known",Cleaned_Data4[[#This Row],[Gender]])</f>
        <v>Other</v>
      </c>
      <c r="I67" s="10" t="str">
        <f>IF(Cleaned_Data4[[#This Row],[Email]]="","invalid_email",Cleaned_Data4[[#This Row],[Email]])</f>
        <v>user97@example.com</v>
      </c>
    </row>
    <row r="68" spans="1:23" x14ac:dyDescent="0.25">
      <c r="A68" s="10" t="str">
        <f>Cleaned_Data4[[#This Row],[Employee ID]]</f>
        <v>EMP1064</v>
      </c>
      <c r="B68" s="10" t="str">
        <f>IF(Cleaned_Data4[[#This Row],[Names]]="","Un-known",Cleaned_Data4[[#This Row],[Names]])</f>
        <v>John Doe</v>
      </c>
      <c r="C68" s="10" t="str">
        <f>IF(Cleaned_Data4[[#This Row],[Department]]="","Un-known",Cleaned_Data4[[#This Row],[Department]])</f>
        <v>IT</v>
      </c>
      <c r="D68" s="10" t="str">
        <f>IF(Cleaned_Data4[[#This Row],[Country]]="","Un-known",Cleaned_Data4[[#This Row],[Country]])</f>
        <v>India</v>
      </c>
      <c r="E68" s="35">
        <f>IF(Cleaned_Data4[[#This Row],[Salary]]="N/A","0",Cleaned_Data4[[#This Row],[Salary]])</f>
        <v>84737</v>
      </c>
      <c r="F68" s="36">
        <f>IF(Cleaned_Data4[[#This Row],[Date of Joining]]="","Un-known",Cleaned_Data4[[#This Row],[Date of Joining]])</f>
        <v>42456</v>
      </c>
      <c r="G68" s="39">
        <f>IF(Cleaned_Data4[[#This Row],[Performance Rating]]="","N/A",Cleaned_Data4[[#This Row],[Performance Rating]])</f>
        <v>1</v>
      </c>
      <c r="H68" s="10" t="str">
        <f>IF(Cleaned_Data4[[#This Row],[Gender]]="","Un-known",Cleaned_Data4[[#This Row],[Gender]])</f>
        <v>Male</v>
      </c>
      <c r="I68" s="10" t="str">
        <f>IF(Cleaned_Data4[[#This Row],[Email]]="","invalid_email",Cleaned_Data4[[#This Row],[Email]])</f>
        <v>user141@example.com</v>
      </c>
    </row>
    <row r="69" spans="1:23" x14ac:dyDescent="0.25">
      <c r="A69" s="10" t="str">
        <f>Cleaned_Data4[[#This Row],[Employee ID]]</f>
        <v>EMP1065</v>
      </c>
      <c r="B69" s="10" t="str">
        <f>IF(Cleaned_Data4[[#This Row],[Names]]="","Un-known",Cleaned_Data4[[#This Row],[Names]])</f>
        <v>Sam Wilson</v>
      </c>
      <c r="C69" s="10" t="str">
        <f>IF(Cleaned_Data4[[#This Row],[Department]]="","Un-known",Cleaned_Data4[[#This Row],[Department]])</f>
        <v>Finance</v>
      </c>
      <c r="D69" s="10" t="str">
        <f>IF(Cleaned_Data4[[#This Row],[Country]]="","Un-known",Cleaned_Data4[[#This Row],[Country]])</f>
        <v>India</v>
      </c>
      <c r="E69" s="35">
        <f>IF(Cleaned_Data4[[#This Row],[Salary]]="N/A","0",Cleaned_Data4[[#This Row],[Salary]])</f>
        <v>33468</v>
      </c>
      <c r="F69" s="36">
        <f>IF(Cleaned_Data4[[#This Row],[Date of Joining]]="","Un-known",Cleaned_Data4[[#This Row],[Date of Joining]])</f>
        <v>42463</v>
      </c>
      <c r="G69" s="39">
        <f>IF(Cleaned_Data4[[#This Row],[Performance Rating]]="","N/A",Cleaned_Data4[[#This Row],[Performance Rating]])</f>
        <v>4</v>
      </c>
      <c r="H69" s="10" t="str">
        <f>IF(Cleaned_Data4[[#This Row],[Gender]]="","Un-known",Cleaned_Data4[[#This Row],[Gender]])</f>
        <v>Male</v>
      </c>
      <c r="I69" s="10" t="str">
        <f>IF(Cleaned_Data4[[#This Row],[Email]]="","invalid_email",Cleaned_Data4[[#This Row],[Email]])</f>
        <v>user125@example.com</v>
      </c>
      <c r="K69" s="100" t="s">
        <v>330</v>
      </c>
      <c r="L69" s="101"/>
      <c r="M69" s="101"/>
      <c r="N69" s="101"/>
      <c r="O69" s="101"/>
      <c r="P69" s="102"/>
    </row>
    <row r="70" spans="1:23" x14ac:dyDescent="0.25">
      <c r="A70" s="10" t="str">
        <f>Cleaned_Data4[[#This Row],[Employee ID]]</f>
        <v>EMP1066</v>
      </c>
      <c r="B70" s="10" t="str">
        <f>IF(Cleaned_Data4[[#This Row],[Names]]="","Un-known",Cleaned_Data4[[#This Row],[Names]])</f>
        <v>Sam Wilson</v>
      </c>
      <c r="C70" s="10" t="str">
        <f>IF(Cleaned_Data4[[#This Row],[Department]]="","Un-known",Cleaned_Data4[[#This Row],[Department]])</f>
        <v>Un-known</v>
      </c>
      <c r="D70" s="10" t="str">
        <f>IF(Cleaned_Data4[[#This Row],[Country]]="","Un-known",Cleaned_Data4[[#This Row],[Country]])</f>
        <v>Australia</v>
      </c>
      <c r="E70" s="35">
        <f>IF(Cleaned_Data4[[#This Row],[Salary]]="N/A","0",Cleaned_Data4[[#This Row],[Salary]])</f>
        <v>96365</v>
      </c>
      <c r="F70" s="36">
        <f>IF(Cleaned_Data4[[#This Row],[Date of Joining]]="","Un-known",Cleaned_Data4[[#This Row],[Date of Joining]])</f>
        <v>42470</v>
      </c>
      <c r="G70" s="39">
        <f>IF(Cleaned_Data4[[#This Row],[Performance Rating]]="","N/A",Cleaned_Data4[[#This Row],[Performance Rating]])</f>
        <v>3</v>
      </c>
      <c r="H70" s="10" t="str">
        <f>IF(Cleaned_Data4[[#This Row],[Gender]]="","Un-known",Cleaned_Data4[[#This Row],[Gender]])</f>
        <v>Other</v>
      </c>
      <c r="I70" s="10" t="str">
        <f>IF(Cleaned_Data4[[#This Row],[Email]]="","invalid_email",Cleaned_Data4[[#This Row],[Email]])</f>
        <v>user90@example.com</v>
      </c>
      <c r="K70" s="97" t="s">
        <v>287</v>
      </c>
      <c r="L70" s="98"/>
      <c r="M70" s="99" t="s">
        <v>288</v>
      </c>
      <c r="N70" s="99" t="s">
        <v>289</v>
      </c>
      <c r="O70" s="99" t="s">
        <v>290</v>
      </c>
      <c r="P70" s="99" t="s">
        <v>291</v>
      </c>
    </row>
    <row r="71" spans="1:23" ht="15" customHeight="1" x14ac:dyDescent="0.25">
      <c r="A71" s="10" t="str">
        <f>Cleaned_Data4[[#This Row],[Employee ID]]</f>
        <v>EMP1067</v>
      </c>
      <c r="B71" s="10" t="str">
        <f>IF(Cleaned_Data4[[#This Row],[Names]]="","Un-known",Cleaned_Data4[[#This Row],[Names]])</f>
        <v>Alice Brown</v>
      </c>
      <c r="C71" s="10" t="str">
        <f>IF(Cleaned_Data4[[#This Row],[Department]]="","Un-known",Cleaned_Data4[[#This Row],[Department]])</f>
        <v>Sales</v>
      </c>
      <c r="D71" s="10" t="str">
        <f>IF(Cleaned_Data4[[#This Row],[Country]]="","Un-known",Cleaned_Data4[[#This Row],[Country]])</f>
        <v>India</v>
      </c>
      <c r="E71" s="35">
        <f>IF(Cleaned_Data4[[#This Row],[Salary]]="N/A","0",Cleaned_Data4[[#This Row],[Salary]])</f>
        <v>61942</v>
      </c>
      <c r="F71" s="36">
        <f>IF(Cleaned_Data4[[#This Row],[Date of Joining]]="","Un-known",Cleaned_Data4[[#This Row],[Date of Joining]])</f>
        <v>42477</v>
      </c>
      <c r="G71" s="39">
        <f>IF(Cleaned_Data4[[#This Row],[Performance Rating]]="","N/A",Cleaned_Data4[[#This Row],[Performance Rating]])</f>
        <v>3</v>
      </c>
      <c r="H71" s="10" t="str">
        <f>IF(Cleaned_Data4[[#This Row],[Gender]]="","Un-known",Cleaned_Data4[[#This Row],[Gender]])</f>
        <v>Female</v>
      </c>
      <c r="I71" s="10" t="str">
        <f>IF(Cleaned_Data4[[#This Row],[Email]]="","invalid_email",Cleaned_Data4[[#This Row],[Email]])</f>
        <v>user192@example.com</v>
      </c>
      <c r="K71" s="54"/>
      <c r="L71" s="55"/>
      <c r="M71" s="56"/>
      <c r="N71" s="56"/>
      <c r="O71" s="56"/>
      <c r="P71" s="56"/>
    </row>
    <row r="72" spans="1:23" x14ac:dyDescent="0.25">
      <c r="A72" s="10" t="str">
        <f>Cleaned_Data4[[#This Row],[Employee ID]]</f>
        <v>EMP1068</v>
      </c>
      <c r="B72" s="10" t="str">
        <f>IF(Cleaned_Data4[[#This Row],[Names]]="","Un-known",Cleaned_Data4[[#This Row],[Names]])</f>
        <v>Sam Wilson</v>
      </c>
      <c r="C72" s="10" t="str">
        <f>IF(Cleaned_Data4[[#This Row],[Department]]="","Un-known",Cleaned_Data4[[#This Row],[Department]])</f>
        <v>Finance</v>
      </c>
      <c r="D72" s="10" t="str">
        <f>IF(Cleaned_Data4[[#This Row],[Country]]="","Un-known",Cleaned_Data4[[#This Row],[Country]])</f>
        <v>UK</v>
      </c>
      <c r="E72" s="35">
        <f>IF(Cleaned_Data4[[#This Row],[Salary]]="N/A","0",Cleaned_Data4[[#This Row],[Salary]])</f>
        <v>41467</v>
      </c>
      <c r="F72" s="36">
        <f>IF(Cleaned_Data4[[#This Row],[Date of Joining]]="","Un-known",Cleaned_Data4[[#This Row],[Date of Joining]])</f>
        <v>42484</v>
      </c>
      <c r="G72" s="39">
        <f>IF(Cleaned_Data4[[#This Row],[Performance Rating]]="","N/A",Cleaned_Data4[[#This Row],[Performance Rating]])</f>
        <v>2</v>
      </c>
      <c r="H72" s="10" t="str">
        <f>IF(Cleaned_Data4[[#This Row],[Gender]]="","Un-known",Cleaned_Data4[[#This Row],[Gender]])</f>
        <v>Un-known</v>
      </c>
      <c r="I72" s="10" t="str">
        <f>IF(Cleaned_Data4[[#This Row],[Email]]="","invalid_email",Cleaned_Data4[[#This Row],[Email]])</f>
        <v>user77@example.com</v>
      </c>
      <c r="K72" s="81" t="s">
        <v>0</v>
      </c>
      <c r="L72" s="82"/>
      <c r="M72" s="12">
        <f>COUNTBLANK(Cleaned_Data4[Employee ID])</f>
        <v>0</v>
      </c>
      <c r="N72" s="12">
        <f>COUNTIF(Cleaned_Data4[Employee ID],"N/A")</f>
        <v>0</v>
      </c>
      <c r="O72" s="12">
        <f>COUNTIF(Cleaned_Data4[Employee ID],"N/A")</f>
        <v>0</v>
      </c>
      <c r="P72" s="12">
        <f>COUNTIF(Cleaned_Data4[Employee ID],"invalid_email")</f>
        <v>0</v>
      </c>
      <c r="R72" s="49" t="s">
        <v>306</v>
      </c>
      <c r="S72" s="49"/>
      <c r="T72" s="49"/>
      <c r="U72" s="49"/>
      <c r="V72" s="49"/>
      <c r="W72" s="43"/>
    </row>
    <row r="73" spans="1:23" ht="15" customHeight="1" x14ac:dyDescent="0.25">
      <c r="A73" s="10" t="str">
        <f>Cleaned_Data4[[#This Row],[Employee ID]]</f>
        <v>EMP1069</v>
      </c>
      <c r="B73" s="10" t="str">
        <f>IF(Cleaned_Data4[[#This Row],[Names]]="","Un-known",Cleaned_Data4[[#This Row],[Names]])</f>
        <v>Bob Johnson</v>
      </c>
      <c r="C73" s="10" t="str">
        <f>IF(Cleaned_Data4[[#This Row],[Department]]="","Un-known",Cleaned_Data4[[#This Row],[Department]])</f>
        <v>Finance</v>
      </c>
      <c r="D73" s="10" t="str">
        <f>IF(Cleaned_Data4[[#This Row],[Country]]="","Un-known",Cleaned_Data4[[#This Row],[Country]])</f>
        <v>India</v>
      </c>
      <c r="E73" s="35">
        <f>IF(Cleaned_Data4[[#This Row],[Salary]]="N/A","0",Cleaned_Data4[[#This Row],[Salary]])</f>
        <v>77096</v>
      </c>
      <c r="F73" s="36">
        <f>IF(Cleaned_Data4[[#This Row],[Date of Joining]]="","Un-known",Cleaned_Data4[[#This Row],[Date of Joining]])</f>
        <v>42491</v>
      </c>
      <c r="G73" s="39">
        <f>IF(Cleaned_Data4[[#This Row],[Performance Rating]]="","N/A",Cleaned_Data4[[#This Row],[Performance Rating]])</f>
        <v>1</v>
      </c>
      <c r="H73" s="10" t="str">
        <f>IF(Cleaned_Data4[[#This Row],[Gender]]="","Un-known",Cleaned_Data4[[#This Row],[Gender]])</f>
        <v>Un-known</v>
      </c>
      <c r="I73" s="10" t="str">
        <f>IF(Cleaned_Data4[[#This Row],[Email]]="","invalid_email",Cleaned_Data4[[#This Row],[Email]])</f>
        <v>user65@example.com</v>
      </c>
      <c r="K73" s="77" t="s">
        <v>1</v>
      </c>
      <c r="L73" s="78"/>
      <c r="M73" s="12">
        <f>COUNTBLANK(Cleaned_Data4[Names])</f>
        <v>10</v>
      </c>
      <c r="N73" s="9">
        <f>COUNTIF(Cleaned_Data4[Names],"N/A")</f>
        <v>0</v>
      </c>
      <c r="O73" s="9">
        <f>COUNTIF(Cleaned_Data4[Names],"Unknown")</f>
        <v>0</v>
      </c>
      <c r="P73" s="9">
        <f>COUNTIF(Cleaned_Data4[Names],"invalid_email")</f>
        <v>0</v>
      </c>
      <c r="R73" s="49" t="s">
        <v>309</v>
      </c>
      <c r="S73" s="49"/>
      <c r="T73" s="49"/>
      <c r="U73" s="49"/>
      <c r="V73" s="49"/>
      <c r="W73" s="43"/>
    </row>
    <row r="74" spans="1:23" ht="15" customHeight="1" x14ac:dyDescent="0.25">
      <c r="A74" s="10" t="str">
        <f>Cleaned_Data4[[#This Row],[Employee ID]]</f>
        <v>EMP1070</v>
      </c>
      <c r="B74" s="10" t="str">
        <f>IF(Cleaned_Data4[[#This Row],[Names]]="","Un-known",Cleaned_Data4[[#This Row],[Names]])</f>
        <v>Eve Adams</v>
      </c>
      <c r="C74" s="10" t="str">
        <f>IF(Cleaned_Data4[[#This Row],[Department]]="","Un-known",Cleaned_Data4[[#This Row],[Department]])</f>
        <v>Sales</v>
      </c>
      <c r="D74" s="10" t="str">
        <f>IF(Cleaned_Data4[[#This Row],[Country]]="","Un-known",Cleaned_Data4[[#This Row],[Country]])</f>
        <v>Australia</v>
      </c>
      <c r="E74" s="35">
        <f>IF(Cleaned_Data4[[#This Row],[Salary]]="N/A","0",Cleaned_Data4[[#This Row],[Salary]])</f>
        <v>69952</v>
      </c>
      <c r="F74" s="36">
        <f>IF(Cleaned_Data4[[#This Row],[Date of Joining]]="","Un-known",Cleaned_Data4[[#This Row],[Date of Joining]])</f>
        <v>42498</v>
      </c>
      <c r="G74" s="39">
        <f>IF(Cleaned_Data4[[#This Row],[Performance Rating]]="","N/A",Cleaned_Data4[[#This Row],[Performance Rating]])</f>
        <v>5</v>
      </c>
      <c r="H74" s="10" t="str">
        <f>IF(Cleaned_Data4[[#This Row],[Gender]]="","Un-known",Cleaned_Data4[[#This Row],[Gender]])</f>
        <v>Female</v>
      </c>
      <c r="I74" s="10" t="str">
        <f>IF(Cleaned_Data4[[#This Row],[Email]]="","invalid_email",Cleaned_Data4[[#This Row],[Email]])</f>
        <v>invalid_email</v>
      </c>
      <c r="K74" s="77" t="s">
        <v>285</v>
      </c>
      <c r="L74" s="78"/>
      <c r="M74" s="12">
        <f>COUNTBLANK(Cleaned_Data4[Department])</f>
        <v>24</v>
      </c>
      <c r="N74" s="9">
        <f>COUNTIF(Cleaned_Data4[Department],"N/A")</f>
        <v>0</v>
      </c>
      <c r="O74" s="9">
        <f>COUNTIF(Cleaned_Data4[Department],"Unknown")</f>
        <v>0</v>
      </c>
      <c r="P74" s="9">
        <f>COUNTIF(Cleaned_Data4[Department],"invalid_email")</f>
        <v>0</v>
      </c>
      <c r="R74" s="49"/>
      <c r="S74" s="49"/>
      <c r="T74" s="49"/>
      <c r="U74" s="49"/>
      <c r="V74" s="49"/>
      <c r="W74" s="43"/>
    </row>
    <row r="75" spans="1:23" ht="15" customHeight="1" x14ac:dyDescent="0.25">
      <c r="A75" s="10" t="str">
        <f>Cleaned_Data4[[#This Row],[Employee ID]]</f>
        <v>EMP1071</v>
      </c>
      <c r="B75" s="10" t="str">
        <f>IF(Cleaned_Data4[[#This Row],[Names]]="","Un-known",Cleaned_Data4[[#This Row],[Names]])</f>
        <v>Eve Adams</v>
      </c>
      <c r="C75" s="10" t="str">
        <f>IF(Cleaned_Data4[[#This Row],[Department]]="","Un-known",Cleaned_Data4[[#This Row],[Department]])</f>
        <v>Marketing</v>
      </c>
      <c r="D75" s="10" t="str">
        <f>IF(Cleaned_Data4[[#This Row],[Country]]="","Un-known",Cleaned_Data4[[#This Row],[Country]])</f>
        <v>USA</v>
      </c>
      <c r="E75" s="35">
        <f>IF(Cleaned_Data4[[#This Row],[Salary]]="N/A","0",Cleaned_Data4[[#This Row],[Salary]])</f>
        <v>85065</v>
      </c>
      <c r="F75" s="36">
        <f>IF(Cleaned_Data4[[#This Row],[Date of Joining]]="","Un-known",Cleaned_Data4[[#This Row],[Date of Joining]])</f>
        <v>42505</v>
      </c>
      <c r="G75" s="39">
        <f>IF(Cleaned_Data4[[#This Row],[Performance Rating]]="","N/A",Cleaned_Data4[[#This Row],[Performance Rating]])</f>
        <v>3</v>
      </c>
      <c r="H75" s="10" t="str">
        <f>IF(Cleaned_Data4[[#This Row],[Gender]]="","Un-known",Cleaned_Data4[[#This Row],[Gender]])</f>
        <v>Un-known</v>
      </c>
      <c r="I75" s="10" t="str">
        <f>IF(Cleaned_Data4[[#This Row],[Email]]="","invalid_email",Cleaned_Data4[[#This Row],[Email]])</f>
        <v>user142@example.com</v>
      </c>
      <c r="K75" s="77" t="s">
        <v>3</v>
      </c>
      <c r="L75" s="78"/>
      <c r="M75" s="12">
        <f>COUNTBLANK(Cleaned_Data4[Country])</f>
        <v>31</v>
      </c>
      <c r="N75" s="13">
        <f>COUNTIF(Cleaned_Data4[Country],"N/A")</f>
        <v>0</v>
      </c>
      <c r="O75" s="9">
        <f>COUNTIF(Cleaned_Data4[Country],"Unknown")</f>
        <v>0</v>
      </c>
      <c r="P75" s="9">
        <f>COUNTIF(Cleaned_Data4[Country],"invalid_email")</f>
        <v>0</v>
      </c>
      <c r="R75" s="43"/>
      <c r="S75" s="43"/>
      <c r="T75" s="44"/>
      <c r="U75" s="44"/>
      <c r="V75" s="44"/>
      <c r="W75" s="43"/>
    </row>
    <row r="76" spans="1:23" ht="15" customHeight="1" x14ac:dyDescent="0.25">
      <c r="A76" s="10" t="str">
        <f>Cleaned_Data4[[#This Row],[Employee ID]]</f>
        <v>EMP1072</v>
      </c>
      <c r="B76" s="10" t="str">
        <f>IF(Cleaned_Data4[[#This Row],[Names]]="","Un-known",Cleaned_Data4[[#This Row],[Names]])</f>
        <v>Bob Johnson</v>
      </c>
      <c r="C76" s="10" t="str">
        <f>IF(Cleaned_Data4[[#This Row],[Department]]="","Un-known",Cleaned_Data4[[#This Row],[Department]])</f>
        <v>Marketing</v>
      </c>
      <c r="D76" s="10" t="str">
        <f>IF(Cleaned_Data4[[#This Row],[Country]]="","Un-known",Cleaned_Data4[[#This Row],[Country]])</f>
        <v>India</v>
      </c>
      <c r="E76" s="35">
        <f>IF(Cleaned_Data4[[#This Row],[Salary]]="N/A","0",Cleaned_Data4[[#This Row],[Salary]])</f>
        <v>56512</v>
      </c>
      <c r="F76" s="36">
        <f>IF(Cleaned_Data4[[#This Row],[Date of Joining]]="","Un-known",Cleaned_Data4[[#This Row],[Date of Joining]])</f>
        <v>42512</v>
      </c>
      <c r="G76" s="39" t="str">
        <f>IF(Cleaned_Data4[[#This Row],[Performance Rating]]="","N/A",Cleaned_Data4[[#This Row],[Performance Rating]])</f>
        <v>N/A</v>
      </c>
      <c r="H76" s="10" t="str">
        <f>IF(Cleaned_Data4[[#This Row],[Gender]]="","Un-known",Cleaned_Data4[[#This Row],[Gender]])</f>
        <v>Other</v>
      </c>
      <c r="I76" s="10" t="str">
        <f>IF(Cleaned_Data4[[#This Row],[Email]]="","invalid_email",Cleaned_Data4[[#This Row],[Email]])</f>
        <v>user153@example.com</v>
      </c>
      <c r="K76" s="77" t="s">
        <v>4</v>
      </c>
      <c r="L76" s="78"/>
      <c r="M76" s="12">
        <f>COUNTBLANK(Cleaned_Data4[Salary])</f>
        <v>0</v>
      </c>
      <c r="N76" s="12">
        <f>COUNTIF(Cleaned_Data4[Salary],"N/A")</f>
        <v>8</v>
      </c>
      <c r="O76" s="9">
        <f>COUNTIF(Cleaned_Data4[Salary],"Unknown")</f>
        <v>0</v>
      </c>
      <c r="P76" s="9">
        <f>COUNTIF(Cleaned_Data4[Salary],"invalid_email")</f>
        <v>0</v>
      </c>
      <c r="R76" s="43"/>
      <c r="S76" s="43"/>
      <c r="T76" s="43"/>
      <c r="U76" s="43"/>
      <c r="V76" s="43"/>
      <c r="W76" s="43"/>
    </row>
    <row r="77" spans="1:23" x14ac:dyDescent="0.25">
      <c r="A77" s="10" t="str">
        <f>Cleaned_Data4[[#This Row],[Employee ID]]</f>
        <v>EMP1073</v>
      </c>
      <c r="B77" s="10" t="str">
        <f>IF(Cleaned_Data4[[#This Row],[Names]]="","Un-known",Cleaned_Data4[[#This Row],[Names]])</f>
        <v>John Doe</v>
      </c>
      <c r="C77" s="10" t="str">
        <f>IF(Cleaned_Data4[[#This Row],[Department]]="","Un-known",Cleaned_Data4[[#This Row],[Department]])</f>
        <v>Sales</v>
      </c>
      <c r="D77" s="10" t="str">
        <f>IF(Cleaned_Data4[[#This Row],[Country]]="","Un-known",Cleaned_Data4[[#This Row],[Country]])</f>
        <v>India</v>
      </c>
      <c r="E77" s="35">
        <f>IF(Cleaned_Data4[[#This Row],[Salary]]="N/A","0",Cleaned_Data4[[#This Row],[Salary]])</f>
        <v>91101</v>
      </c>
      <c r="F77" s="36">
        <f>IF(Cleaned_Data4[[#This Row],[Date of Joining]]="","Un-known",Cleaned_Data4[[#This Row],[Date of Joining]])</f>
        <v>42519</v>
      </c>
      <c r="G77" s="39">
        <f>IF(Cleaned_Data4[[#This Row],[Performance Rating]]="","N/A",Cleaned_Data4[[#This Row],[Performance Rating]])</f>
        <v>4</v>
      </c>
      <c r="H77" s="10" t="str">
        <f>IF(Cleaned_Data4[[#This Row],[Gender]]="","Un-known",Cleaned_Data4[[#This Row],[Gender]])</f>
        <v>Female</v>
      </c>
      <c r="I77" s="10" t="str">
        <f>IF(Cleaned_Data4[[#This Row],[Email]]="","invalid_email",Cleaned_Data4[[#This Row],[Email]])</f>
        <v>user71@example.com</v>
      </c>
      <c r="K77" s="77" t="s">
        <v>286</v>
      </c>
      <c r="L77" s="78"/>
      <c r="M77" s="12">
        <f>COUNTBLANK(Cleaned_Data4[Date of Joining])</f>
        <v>9</v>
      </c>
      <c r="N77" s="12">
        <f>COUNTIF(Cleaned_Data4[Date of Joining],"N/A")</f>
        <v>0</v>
      </c>
      <c r="O77" s="9">
        <f>COUNTIF(Cleaned_Data4[Date of Joining],"Unknown")</f>
        <v>0</v>
      </c>
      <c r="P77" s="9">
        <f>COUNTIF(Cleaned_Data4[Date of Joining],"invalid_email")</f>
        <v>0</v>
      </c>
      <c r="T77" s="43"/>
      <c r="U77" s="43"/>
      <c r="V77" s="43"/>
      <c r="W77" s="43"/>
    </row>
    <row r="78" spans="1:23" x14ac:dyDescent="0.25">
      <c r="A78" s="10" t="str">
        <f>Cleaned_Data4[[#This Row],[Employee ID]]</f>
        <v>EMP1074</v>
      </c>
      <c r="B78" s="10" t="str">
        <f>IF(Cleaned_Data4[[#This Row],[Names]]="","Un-known",Cleaned_Data4[[#This Row],[Names]])</f>
        <v>Sam Wilson</v>
      </c>
      <c r="C78" s="10" t="str">
        <f>IF(Cleaned_Data4[[#This Row],[Department]]="","Un-known",Cleaned_Data4[[#This Row],[Department]])</f>
        <v>Un-known</v>
      </c>
      <c r="D78" s="10" t="str">
        <f>IF(Cleaned_Data4[[#This Row],[Country]]="","Un-known",Cleaned_Data4[[#This Row],[Country]])</f>
        <v>Germany</v>
      </c>
      <c r="E78" s="35">
        <f>IF(Cleaned_Data4[[#This Row],[Salary]]="N/A","0",Cleaned_Data4[[#This Row],[Salary]])</f>
        <v>41243</v>
      </c>
      <c r="F78" s="36">
        <f>IF(Cleaned_Data4[[#This Row],[Date of Joining]]="","Un-known",Cleaned_Data4[[#This Row],[Date of Joining]])</f>
        <v>42526</v>
      </c>
      <c r="G78" s="39" t="str">
        <f>IF(Cleaned_Data4[[#This Row],[Performance Rating]]="","N/A",Cleaned_Data4[[#This Row],[Performance Rating]])</f>
        <v>N/A</v>
      </c>
      <c r="H78" s="10" t="str">
        <f>IF(Cleaned_Data4[[#This Row],[Gender]]="","Un-known",Cleaned_Data4[[#This Row],[Gender]])</f>
        <v>Un-known</v>
      </c>
      <c r="I78" s="10" t="str">
        <f>IF(Cleaned_Data4[[#This Row],[Email]]="","invalid_email",Cleaned_Data4[[#This Row],[Email]])</f>
        <v>user143@example.com</v>
      </c>
      <c r="K78" s="77" t="s">
        <v>6</v>
      </c>
      <c r="L78" s="78"/>
      <c r="M78" s="12">
        <f>COUNTBLANK(Cleaned_Data4[Performance Rating])</f>
        <v>25</v>
      </c>
      <c r="N78" s="9">
        <f>COUNTIF(Cleaned_Data4[Performance Rating],"N/A")</f>
        <v>0</v>
      </c>
      <c r="O78" s="13">
        <f>COUNTIF(Cleaned_Data4[Performance Rating],"Unknown")</f>
        <v>0</v>
      </c>
      <c r="P78" s="9">
        <f>COUNTIF(Cleaned_Data4[Performance Rating],"invalid_email")</f>
        <v>0</v>
      </c>
    </row>
    <row r="79" spans="1:23" x14ac:dyDescent="0.25">
      <c r="A79" s="10" t="str">
        <f>Cleaned_Data4[[#This Row],[Employee ID]]</f>
        <v>EMP1075</v>
      </c>
      <c r="B79" s="10" t="str">
        <f>IF(Cleaned_Data4[[#This Row],[Names]]="","Un-known",Cleaned_Data4[[#This Row],[Names]])</f>
        <v>Un-known</v>
      </c>
      <c r="C79" s="10" t="str">
        <f>IF(Cleaned_Data4[[#This Row],[Department]]="","Un-known",Cleaned_Data4[[#This Row],[Department]])</f>
        <v>Sales</v>
      </c>
      <c r="D79" s="10" t="str">
        <f>IF(Cleaned_Data4[[#This Row],[Country]]="","Un-known",Cleaned_Data4[[#This Row],[Country]])</f>
        <v>Un-known</v>
      </c>
      <c r="E79" s="35">
        <f>IF(Cleaned_Data4[[#This Row],[Salary]]="N/A","0",Cleaned_Data4[[#This Row],[Salary]])</f>
        <v>96142</v>
      </c>
      <c r="F79" s="36">
        <f>IF(Cleaned_Data4[[#This Row],[Date of Joining]]="","Un-known",Cleaned_Data4[[#This Row],[Date of Joining]])</f>
        <v>42533</v>
      </c>
      <c r="G79" s="39">
        <f>IF(Cleaned_Data4[[#This Row],[Performance Rating]]="","N/A",Cleaned_Data4[[#This Row],[Performance Rating]])</f>
        <v>1</v>
      </c>
      <c r="H79" s="10" t="str">
        <f>IF(Cleaned_Data4[[#This Row],[Gender]]="","Un-known",Cleaned_Data4[[#This Row],[Gender]])</f>
        <v>Other</v>
      </c>
      <c r="I79" s="10" t="str">
        <f>IF(Cleaned_Data4[[#This Row],[Email]]="","invalid_email",Cleaned_Data4[[#This Row],[Email]])</f>
        <v>user17@example.com</v>
      </c>
      <c r="K79" s="77" t="s">
        <v>7</v>
      </c>
      <c r="L79" s="78"/>
      <c r="M79" s="12">
        <f>COUNTBLANK(Cleaned_Data4[Gender])</f>
        <v>44</v>
      </c>
      <c r="N79" s="9">
        <f>COUNTIF(Cleaned_Data4[Gender],"N/A")</f>
        <v>0</v>
      </c>
      <c r="O79" s="12">
        <f>COUNTIF(Cleaned_Data4[Gender],"Unknown")</f>
        <v>5</v>
      </c>
      <c r="P79" s="9">
        <f>COUNTIF(Cleaned_Data4[Gender],"invalid_email")</f>
        <v>0</v>
      </c>
    </row>
    <row r="80" spans="1:23" x14ac:dyDescent="0.25">
      <c r="A80" s="10" t="str">
        <f>Cleaned_Data4[[#This Row],[Employee ID]]</f>
        <v>EMP1076</v>
      </c>
      <c r="B80" s="10" t="str">
        <f>IF(Cleaned_Data4[[#This Row],[Names]]="","Un-known",Cleaned_Data4[[#This Row],[Names]])</f>
        <v>Eve Adams</v>
      </c>
      <c r="C80" s="10" t="str">
        <f>IF(Cleaned_Data4[[#This Row],[Department]]="","Un-known",Cleaned_Data4[[#This Row],[Department]])</f>
        <v>IT</v>
      </c>
      <c r="D80" s="10" t="str">
        <f>IF(Cleaned_Data4[[#This Row],[Country]]="","Un-known",Cleaned_Data4[[#This Row],[Country]])</f>
        <v>India</v>
      </c>
      <c r="E80" s="35">
        <f>IF(Cleaned_Data4[[#This Row],[Salary]]="N/A","0",Cleaned_Data4[[#This Row],[Salary]])</f>
        <v>94301</v>
      </c>
      <c r="F80" s="36">
        <f>IF(Cleaned_Data4[[#This Row],[Date of Joining]]="","Un-known",Cleaned_Data4[[#This Row],[Date of Joining]])</f>
        <v>42540</v>
      </c>
      <c r="G80" s="39">
        <f>IF(Cleaned_Data4[[#This Row],[Performance Rating]]="","N/A",Cleaned_Data4[[#This Row],[Performance Rating]])</f>
        <v>1</v>
      </c>
      <c r="H80" s="10" t="str">
        <f>IF(Cleaned_Data4[[#This Row],[Gender]]="","Un-known",Cleaned_Data4[[#This Row],[Gender]])</f>
        <v>Male</v>
      </c>
      <c r="I80" s="10" t="str">
        <f>IF(Cleaned_Data4[[#This Row],[Email]]="","invalid_email",Cleaned_Data4[[#This Row],[Email]])</f>
        <v>user20@example.com</v>
      </c>
      <c r="K80" s="79" t="s">
        <v>8</v>
      </c>
      <c r="L80" s="80"/>
      <c r="M80" s="112">
        <f>COUNTBLANK(Cleaned_Data4[Email])</f>
        <v>0</v>
      </c>
      <c r="N80" s="13">
        <f>COUNTIF(Cleaned_Data4[Email],"N/A")</f>
        <v>0</v>
      </c>
      <c r="O80" s="112">
        <f>COUNTIF(Cleaned_Data4[Email],"Unknown")</f>
        <v>0</v>
      </c>
      <c r="P80" s="112">
        <f>COUNTIF(Cleaned_Data4[Email],"invalid_email")</f>
        <v>5</v>
      </c>
    </row>
    <row r="81" spans="1:24" x14ac:dyDescent="0.25">
      <c r="A81" s="10" t="str">
        <f>Cleaned_Data4[[#This Row],[Employee ID]]</f>
        <v>EMP1077</v>
      </c>
      <c r="B81" s="10" t="str">
        <f>IF(Cleaned_Data4[[#This Row],[Names]]="","Un-known",Cleaned_Data4[[#This Row],[Names]])</f>
        <v>Jane Smith</v>
      </c>
      <c r="C81" s="10" t="str">
        <f>IF(Cleaned_Data4[[#This Row],[Department]]="","Un-known",Cleaned_Data4[[#This Row],[Department]])</f>
        <v>Un-known</v>
      </c>
      <c r="D81" s="10" t="str">
        <f>IF(Cleaned_Data4[[#This Row],[Country]]="","Un-known",Cleaned_Data4[[#This Row],[Country]])</f>
        <v>UK</v>
      </c>
      <c r="E81" s="35">
        <f>IF(Cleaned_Data4[[#This Row],[Salary]]="N/A","0",Cleaned_Data4[[#This Row],[Salary]])</f>
        <v>69166</v>
      </c>
      <c r="F81" s="36">
        <f>IF(Cleaned_Data4[[#This Row],[Date of Joining]]="","Un-known",Cleaned_Data4[[#This Row],[Date of Joining]])</f>
        <v>42547</v>
      </c>
      <c r="G81" s="39">
        <f>IF(Cleaned_Data4[[#This Row],[Performance Rating]]="","N/A",Cleaned_Data4[[#This Row],[Performance Rating]])</f>
        <v>1</v>
      </c>
      <c r="H81" s="10" t="str">
        <f>IF(Cleaned_Data4[[#This Row],[Gender]]="","Un-known",Cleaned_Data4[[#This Row],[Gender]])</f>
        <v>Female</v>
      </c>
      <c r="I81" s="10" t="str">
        <f>IF(Cleaned_Data4[[#This Row],[Email]]="","invalid_email",Cleaned_Data4[[#This Row],[Email]])</f>
        <v>user22@example.com</v>
      </c>
      <c r="K81" s="76" t="s">
        <v>279</v>
      </c>
      <c r="L81" s="76"/>
      <c r="M81" s="41">
        <f>SUM(M72:M80)</f>
        <v>143</v>
      </c>
      <c r="N81" s="41">
        <f>SUM(N72:N80)</f>
        <v>8</v>
      </c>
      <c r="O81" s="41">
        <f>SUM(O72:O80)</f>
        <v>5</v>
      </c>
      <c r="P81" s="41">
        <f>SUM(P72:P80)</f>
        <v>5</v>
      </c>
      <c r="S81" s="43"/>
    </row>
    <row r="82" spans="1:24" x14ac:dyDescent="0.25">
      <c r="A82" s="10" t="str">
        <f>Cleaned_Data4[[#This Row],[Employee ID]]</f>
        <v>EMP1078</v>
      </c>
      <c r="B82" s="10" t="str">
        <f>IF(Cleaned_Data4[[#This Row],[Names]]="","Un-known",Cleaned_Data4[[#This Row],[Names]])</f>
        <v>Sam Wilson</v>
      </c>
      <c r="C82" s="10" t="str">
        <f>IF(Cleaned_Data4[[#This Row],[Department]]="","Un-known",Cleaned_Data4[[#This Row],[Department]])</f>
        <v>Un-known</v>
      </c>
      <c r="D82" s="10" t="str">
        <f>IF(Cleaned_Data4[[#This Row],[Country]]="","Un-known",Cleaned_Data4[[#This Row],[Country]])</f>
        <v>UK</v>
      </c>
      <c r="E82" s="35">
        <f>IF(Cleaned_Data4[[#This Row],[Salary]]="N/A","0",Cleaned_Data4[[#This Row],[Salary]])</f>
        <v>78245</v>
      </c>
      <c r="F82" s="36">
        <f>IF(Cleaned_Data4[[#This Row],[Date of Joining]]="","Un-known",Cleaned_Data4[[#This Row],[Date of Joining]])</f>
        <v>42554</v>
      </c>
      <c r="G82" s="39">
        <f>IF(Cleaned_Data4[[#This Row],[Performance Rating]]="","N/A",Cleaned_Data4[[#This Row],[Performance Rating]])</f>
        <v>2</v>
      </c>
      <c r="H82" s="10" t="str">
        <f>IF(Cleaned_Data4[[#This Row],[Gender]]="","Un-known",Cleaned_Data4[[#This Row],[Gender]])</f>
        <v>Un-known</v>
      </c>
      <c r="I82" s="10" t="str">
        <f>IF(Cleaned_Data4[[#This Row],[Email]]="","invalid_email",Cleaned_Data4[[#This Row],[Email]])</f>
        <v>user46@example.com</v>
      </c>
      <c r="K82" s="74" t="s">
        <v>292</v>
      </c>
      <c r="L82" s="74"/>
      <c r="M82" s="75">
        <f>COUNTBLANK('Raw data for day3'!$A$3:$J$153)</f>
        <v>143</v>
      </c>
      <c r="N82" s="75">
        <f>COUNTIF('Raw data for day3'!A3:J153,"N/A")</f>
        <v>8</v>
      </c>
      <c r="O82" s="75">
        <f>COUNTIF('Raw data for day3'!A3:J153,"Unknown")</f>
        <v>5</v>
      </c>
      <c r="P82" s="75">
        <f>COUNTIF('Raw data for day3'!A3:J153,"invalid_email")</f>
        <v>5</v>
      </c>
      <c r="R82" s="49" t="s">
        <v>307</v>
      </c>
      <c r="S82" s="49"/>
      <c r="T82" s="49"/>
      <c r="U82" s="49"/>
      <c r="V82" s="49"/>
      <c r="W82" s="43"/>
      <c r="X82" s="43"/>
    </row>
    <row r="83" spans="1:24" ht="15" customHeight="1" x14ac:dyDescent="0.25">
      <c r="A83" s="10" t="str">
        <f>Cleaned_Data4[[#This Row],[Employee ID]]</f>
        <v>EMP1079</v>
      </c>
      <c r="B83" s="10" t="str">
        <f>IF(Cleaned_Data4[[#This Row],[Names]]="","Un-known",Cleaned_Data4[[#This Row],[Names]])</f>
        <v>Chris Lee</v>
      </c>
      <c r="C83" s="10" t="str">
        <f>IF(Cleaned_Data4[[#This Row],[Department]]="","Un-known",Cleaned_Data4[[#This Row],[Department]])</f>
        <v>Sales</v>
      </c>
      <c r="D83" s="10" t="str">
        <f>IF(Cleaned_Data4[[#This Row],[Country]]="","Un-known",Cleaned_Data4[[#This Row],[Country]])</f>
        <v>USA</v>
      </c>
      <c r="E83" s="35">
        <f>IF(Cleaned_Data4[[#This Row],[Salary]]="N/A","0",Cleaned_Data4[[#This Row],[Salary]])</f>
        <v>66079</v>
      </c>
      <c r="F83" s="36">
        <f>IF(Cleaned_Data4[[#This Row],[Date of Joining]]="","Un-known",Cleaned_Data4[[#This Row],[Date of Joining]])</f>
        <v>42561</v>
      </c>
      <c r="G83" s="39">
        <f>IF(Cleaned_Data4[[#This Row],[Performance Rating]]="","N/A",Cleaned_Data4[[#This Row],[Performance Rating]])</f>
        <v>2</v>
      </c>
      <c r="H83" s="10" t="str">
        <f>IF(Cleaned_Data4[[#This Row],[Gender]]="","Un-known",Cleaned_Data4[[#This Row],[Gender]])</f>
        <v>Other</v>
      </c>
      <c r="I83" s="10" t="str">
        <f>IF(Cleaned_Data4[[#This Row],[Email]]="","invalid_email",Cleaned_Data4[[#This Row],[Email]])</f>
        <v>user55@example.com</v>
      </c>
      <c r="K83" s="74"/>
      <c r="L83" s="74"/>
      <c r="M83" s="75"/>
      <c r="N83" s="75"/>
      <c r="O83" s="75"/>
      <c r="P83" s="75"/>
      <c r="R83" s="49"/>
      <c r="S83" s="49"/>
      <c r="T83" s="49"/>
      <c r="U83" s="49"/>
      <c r="V83" s="49"/>
      <c r="W83" s="43"/>
      <c r="X83" s="43"/>
    </row>
    <row r="84" spans="1:24" ht="15" customHeight="1" x14ac:dyDescent="0.25">
      <c r="A84" s="10" t="str">
        <f>Cleaned_Data4[[#This Row],[Employee ID]]</f>
        <v>EMP1080</v>
      </c>
      <c r="B84" s="10" t="str">
        <f>IF(Cleaned_Data4[[#This Row],[Names]]="","Un-known",Cleaned_Data4[[#This Row],[Names]])</f>
        <v>Eve Adams</v>
      </c>
      <c r="C84" s="10" t="str">
        <f>IF(Cleaned_Data4[[#This Row],[Department]]="","Un-known",Cleaned_Data4[[#This Row],[Department]])</f>
        <v>Marketing</v>
      </c>
      <c r="D84" s="10" t="str">
        <f>IF(Cleaned_Data4[[#This Row],[Country]]="","Un-known",Cleaned_Data4[[#This Row],[Country]])</f>
        <v>India</v>
      </c>
      <c r="E84" s="35" t="str">
        <f>IF(Cleaned_Data4[[#This Row],[Salary]]="N/A","0",Cleaned_Data4[[#This Row],[Salary]])</f>
        <v>0</v>
      </c>
      <c r="F84" s="36" t="str">
        <f>IF(Cleaned_Data4[[#This Row],[Date of Joining]]="","Un-known",Cleaned_Data4[[#This Row],[Date of Joining]])</f>
        <v>Un-known</v>
      </c>
      <c r="G84" s="39" t="str">
        <f>IF(Cleaned_Data4[[#This Row],[Performance Rating]]="","N/A",Cleaned_Data4[[#This Row],[Performance Rating]])</f>
        <v>N/A</v>
      </c>
      <c r="H84" s="10" t="str">
        <f>IF(Cleaned_Data4[[#This Row],[Gender]]="","Un-known",Cleaned_Data4[[#This Row],[Gender]])</f>
        <v>Un-known</v>
      </c>
      <c r="I84" s="10" t="str">
        <f>IF(Cleaned_Data4[[#This Row],[Email]]="","invalid_email",Cleaned_Data4[[#This Row],[Email]])</f>
        <v>user135@example.com</v>
      </c>
      <c r="T84" s="44"/>
      <c r="U84" s="44"/>
      <c r="V84" s="44"/>
      <c r="W84" s="43"/>
    </row>
    <row r="85" spans="1:24" x14ac:dyDescent="0.25">
      <c r="A85" s="10" t="str">
        <f>Cleaned_Data4[[#This Row],[Employee ID]]</f>
        <v>EMP1081</v>
      </c>
      <c r="B85" s="10" t="str">
        <f>IF(Cleaned_Data4[[#This Row],[Names]]="","Un-known",Cleaned_Data4[[#This Row],[Names]])</f>
        <v>Jane Smith</v>
      </c>
      <c r="C85" s="10" t="str">
        <f>IF(Cleaned_Data4[[#This Row],[Department]]="","Un-known",Cleaned_Data4[[#This Row],[Department]])</f>
        <v>Sales</v>
      </c>
      <c r="D85" s="10" t="str">
        <f>IF(Cleaned_Data4[[#This Row],[Country]]="","Un-known",Cleaned_Data4[[#This Row],[Country]])</f>
        <v>USA</v>
      </c>
      <c r="E85" s="35">
        <f>IF(Cleaned_Data4[[#This Row],[Salary]]="N/A","0",Cleaned_Data4[[#This Row],[Salary]])</f>
        <v>95621</v>
      </c>
      <c r="F85" s="36">
        <f>IF(Cleaned_Data4[[#This Row],[Date of Joining]]="","Un-known",Cleaned_Data4[[#This Row],[Date of Joining]])</f>
        <v>42575</v>
      </c>
      <c r="G85" s="39">
        <f>IF(Cleaned_Data4[[#This Row],[Performance Rating]]="","N/A",Cleaned_Data4[[#This Row],[Performance Rating]])</f>
        <v>3</v>
      </c>
      <c r="H85" s="10" t="str">
        <f>IF(Cleaned_Data4[[#This Row],[Gender]]="","Un-known",Cleaned_Data4[[#This Row],[Gender]])</f>
        <v>Female</v>
      </c>
      <c r="I85" s="10" t="str">
        <f>IF(Cleaned_Data4[[#This Row],[Email]]="","invalid_email",Cleaned_Data4[[#This Row],[Email]])</f>
        <v>user156@example.com</v>
      </c>
    </row>
    <row r="86" spans="1:24" x14ac:dyDescent="0.25">
      <c r="A86" s="10" t="str">
        <f>Cleaned_Data4[[#This Row],[Employee ID]]</f>
        <v>EMP1082</v>
      </c>
      <c r="B86" s="10" t="str">
        <f>IF(Cleaned_Data4[[#This Row],[Names]]="","Un-known",Cleaned_Data4[[#This Row],[Names]])</f>
        <v>Eve Adams</v>
      </c>
      <c r="C86" s="10" t="str">
        <f>IF(Cleaned_Data4[[#This Row],[Department]]="","Un-known",Cleaned_Data4[[#This Row],[Department]])</f>
        <v>IT</v>
      </c>
      <c r="D86" s="10" t="str">
        <f>IF(Cleaned_Data4[[#This Row],[Country]]="","Un-known",Cleaned_Data4[[#This Row],[Country]])</f>
        <v>UK</v>
      </c>
      <c r="E86" s="35">
        <f>IF(Cleaned_Data4[[#This Row],[Salary]]="N/A","0",Cleaned_Data4[[#This Row],[Salary]])</f>
        <v>42262</v>
      </c>
      <c r="F86" s="36">
        <f>IF(Cleaned_Data4[[#This Row],[Date of Joining]]="","Un-known",Cleaned_Data4[[#This Row],[Date of Joining]])</f>
        <v>42582</v>
      </c>
      <c r="G86" s="39">
        <f>IF(Cleaned_Data4[[#This Row],[Performance Rating]]="","N/A",Cleaned_Data4[[#This Row],[Performance Rating]])</f>
        <v>1</v>
      </c>
      <c r="H86" s="10" t="str">
        <f>IF(Cleaned_Data4[[#This Row],[Gender]]="","Un-known",Cleaned_Data4[[#This Row],[Gender]])</f>
        <v>Un-known</v>
      </c>
      <c r="I86" s="10" t="str">
        <f>IF(Cleaned_Data4[[#This Row],[Email]]="","invalid_email",Cleaned_Data4[[#This Row],[Email]])</f>
        <v>user104@example.com</v>
      </c>
    </row>
    <row r="87" spans="1:24" x14ac:dyDescent="0.25">
      <c r="A87" s="10" t="str">
        <f>Cleaned_Data4[[#This Row],[Employee ID]]</f>
        <v>EMP1083</v>
      </c>
      <c r="B87" s="10" t="str">
        <f>IF(Cleaned_Data4[[#This Row],[Names]]="","Un-known",Cleaned_Data4[[#This Row],[Names]])</f>
        <v>Sam Wilson</v>
      </c>
      <c r="C87" s="10" t="str">
        <f>IF(Cleaned_Data4[[#This Row],[Department]]="","Un-known",Cleaned_Data4[[#This Row],[Department]])</f>
        <v>Sales</v>
      </c>
      <c r="D87" s="10" t="str">
        <f>IF(Cleaned_Data4[[#This Row],[Country]]="","Un-known",Cleaned_Data4[[#This Row],[Country]])</f>
        <v>India</v>
      </c>
      <c r="E87" s="35">
        <f>IF(Cleaned_Data4[[#This Row],[Salary]]="N/A","0",Cleaned_Data4[[#This Row],[Salary]])</f>
        <v>99621</v>
      </c>
      <c r="F87" s="36">
        <f>IF(Cleaned_Data4[[#This Row],[Date of Joining]]="","Un-known",Cleaned_Data4[[#This Row],[Date of Joining]])</f>
        <v>42589</v>
      </c>
      <c r="G87" s="39" t="str">
        <f>IF(Cleaned_Data4[[#This Row],[Performance Rating]]="","N/A",Cleaned_Data4[[#This Row],[Performance Rating]])</f>
        <v>N/A</v>
      </c>
      <c r="H87" s="10" t="str">
        <f>IF(Cleaned_Data4[[#This Row],[Gender]]="","Un-known",Cleaned_Data4[[#This Row],[Gender]])</f>
        <v>Other</v>
      </c>
      <c r="I87" s="10" t="str">
        <f>IF(Cleaned_Data4[[#This Row],[Email]]="","invalid_email",Cleaned_Data4[[#This Row],[Email]])</f>
        <v>user145@example.com</v>
      </c>
    </row>
    <row r="88" spans="1:24" x14ac:dyDescent="0.25">
      <c r="A88" s="10" t="str">
        <f>Cleaned_Data4[[#This Row],[Employee ID]]</f>
        <v>EMP1084</v>
      </c>
      <c r="B88" s="10" t="str">
        <f>IF(Cleaned_Data4[[#This Row],[Names]]="","Un-known",Cleaned_Data4[[#This Row],[Names]])</f>
        <v>John Doe</v>
      </c>
      <c r="C88" s="10" t="str">
        <f>IF(Cleaned_Data4[[#This Row],[Department]]="","Un-known",Cleaned_Data4[[#This Row],[Department]])</f>
        <v>Marketing</v>
      </c>
      <c r="D88" s="10" t="str">
        <f>IF(Cleaned_Data4[[#This Row],[Country]]="","Un-known",Cleaned_Data4[[#This Row],[Country]])</f>
        <v>India</v>
      </c>
      <c r="E88" s="35">
        <f>IF(Cleaned_Data4[[#This Row],[Salary]]="N/A","0",Cleaned_Data4[[#This Row],[Salary]])</f>
        <v>44682</v>
      </c>
      <c r="F88" s="36">
        <f>IF(Cleaned_Data4[[#This Row],[Date of Joining]]="","Un-known",Cleaned_Data4[[#This Row],[Date of Joining]])</f>
        <v>42596</v>
      </c>
      <c r="G88" s="39">
        <f>IF(Cleaned_Data4[[#This Row],[Performance Rating]]="","N/A",Cleaned_Data4[[#This Row],[Performance Rating]])</f>
        <v>4</v>
      </c>
      <c r="H88" s="10" t="str">
        <f>IF(Cleaned_Data4[[#This Row],[Gender]]="","Un-known",Cleaned_Data4[[#This Row],[Gender]])</f>
        <v>Female</v>
      </c>
      <c r="I88" s="10" t="str">
        <f>IF(Cleaned_Data4[[#This Row],[Email]]="","invalid_email",Cleaned_Data4[[#This Row],[Email]])</f>
        <v>user47@example.com</v>
      </c>
    </row>
    <row r="89" spans="1:24" x14ac:dyDescent="0.25">
      <c r="A89" s="10" t="str">
        <f>Cleaned_Data4[[#This Row],[Employee ID]]</f>
        <v>EMP1085</v>
      </c>
      <c r="B89" s="10" t="str">
        <f>IF(Cleaned_Data4[[#This Row],[Names]]="","Un-known",Cleaned_Data4[[#This Row],[Names]])</f>
        <v>Chris Lee</v>
      </c>
      <c r="C89" s="10" t="str">
        <f>IF(Cleaned_Data4[[#This Row],[Department]]="","Un-known",Cleaned_Data4[[#This Row],[Department]])</f>
        <v>Finance</v>
      </c>
      <c r="D89" s="10" t="str">
        <f>IF(Cleaned_Data4[[#This Row],[Country]]="","Un-known",Cleaned_Data4[[#This Row],[Country]])</f>
        <v>Un-known</v>
      </c>
      <c r="E89" s="35">
        <f>IF(Cleaned_Data4[[#This Row],[Salary]]="N/A","0",Cleaned_Data4[[#This Row],[Salary]])</f>
        <v>35163</v>
      </c>
      <c r="F89" s="36">
        <f>IF(Cleaned_Data4[[#This Row],[Date of Joining]]="","Un-known",Cleaned_Data4[[#This Row],[Date of Joining]])</f>
        <v>42603</v>
      </c>
      <c r="G89" s="39">
        <f>IF(Cleaned_Data4[[#This Row],[Performance Rating]]="","N/A",Cleaned_Data4[[#This Row],[Performance Rating]])</f>
        <v>5</v>
      </c>
      <c r="H89" s="10" t="str">
        <f>IF(Cleaned_Data4[[#This Row],[Gender]]="","Un-known",Cleaned_Data4[[#This Row],[Gender]])</f>
        <v>Other</v>
      </c>
      <c r="I89" s="10" t="str">
        <f>IF(Cleaned_Data4[[#This Row],[Email]]="","invalid_email",Cleaned_Data4[[#This Row],[Email]])</f>
        <v>user197@example.com</v>
      </c>
    </row>
    <row r="90" spans="1:24" x14ac:dyDescent="0.25">
      <c r="A90" s="10" t="str">
        <f>Cleaned_Data4[[#This Row],[Employee ID]]</f>
        <v>EMP1086</v>
      </c>
      <c r="B90" s="10" t="str">
        <f>IF(Cleaned_Data4[[#This Row],[Names]]="","Un-known",Cleaned_Data4[[#This Row],[Names]])</f>
        <v>Chris Lee</v>
      </c>
      <c r="C90" s="10" t="str">
        <f>IF(Cleaned_Data4[[#This Row],[Department]]="","Un-known",Cleaned_Data4[[#This Row],[Department]])</f>
        <v>IT</v>
      </c>
      <c r="D90" s="10" t="str">
        <f>IF(Cleaned_Data4[[#This Row],[Country]]="","Un-known",Cleaned_Data4[[#This Row],[Country]])</f>
        <v>India</v>
      </c>
      <c r="E90" s="35">
        <f>IF(Cleaned_Data4[[#This Row],[Salary]]="N/A","0",Cleaned_Data4[[#This Row],[Salary]])</f>
        <v>33483</v>
      </c>
      <c r="F90" s="36">
        <f>IF(Cleaned_Data4[[#This Row],[Date of Joining]]="","Un-known",Cleaned_Data4[[#This Row],[Date of Joining]])</f>
        <v>42610</v>
      </c>
      <c r="G90" s="39">
        <f>IF(Cleaned_Data4[[#This Row],[Performance Rating]]="","N/A",Cleaned_Data4[[#This Row],[Performance Rating]])</f>
        <v>4</v>
      </c>
      <c r="H90" s="10" t="str">
        <f>IF(Cleaned_Data4[[#This Row],[Gender]]="","Un-known",Cleaned_Data4[[#This Row],[Gender]])</f>
        <v>Male</v>
      </c>
      <c r="I90" s="10" t="str">
        <f>IF(Cleaned_Data4[[#This Row],[Email]]="","invalid_email",Cleaned_Data4[[#This Row],[Email]])</f>
        <v>user177@example.com</v>
      </c>
    </row>
    <row r="91" spans="1:24" x14ac:dyDescent="0.25">
      <c r="A91" s="10" t="str">
        <f>Cleaned_Data4[[#This Row],[Employee ID]]</f>
        <v>EMP1087</v>
      </c>
      <c r="B91" s="10" t="str">
        <f>IF(Cleaned_Data4[[#This Row],[Names]]="","Un-known",Cleaned_Data4[[#This Row],[Names]])</f>
        <v>Sam Wilson</v>
      </c>
      <c r="C91" s="10" t="str">
        <f>IF(Cleaned_Data4[[#This Row],[Department]]="","Un-known",Cleaned_Data4[[#This Row],[Department]])</f>
        <v>HR</v>
      </c>
      <c r="D91" s="10" t="str">
        <f>IF(Cleaned_Data4[[#This Row],[Country]]="","Un-known",Cleaned_Data4[[#This Row],[Country]])</f>
        <v>Germany</v>
      </c>
      <c r="E91" s="35">
        <f>IF(Cleaned_Data4[[#This Row],[Salary]]="N/A","0",Cleaned_Data4[[#This Row],[Salary]])</f>
        <v>55303</v>
      </c>
      <c r="F91" s="36">
        <f>IF(Cleaned_Data4[[#This Row],[Date of Joining]]="","Un-known",Cleaned_Data4[[#This Row],[Date of Joining]])</f>
        <v>42617</v>
      </c>
      <c r="G91" s="39">
        <f>IF(Cleaned_Data4[[#This Row],[Performance Rating]]="","N/A",Cleaned_Data4[[#This Row],[Performance Rating]])</f>
        <v>4</v>
      </c>
      <c r="H91" s="10" t="str">
        <f>IF(Cleaned_Data4[[#This Row],[Gender]]="","Un-known",Cleaned_Data4[[#This Row],[Gender]])</f>
        <v>Male</v>
      </c>
      <c r="I91" s="10" t="str">
        <f>IF(Cleaned_Data4[[#This Row],[Email]]="","invalid_email",Cleaned_Data4[[#This Row],[Email]])</f>
        <v>user149@example.com</v>
      </c>
    </row>
    <row r="92" spans="1:24" x14ac:dyDescent="0.25">
      <c r="A92" s="10" t="str">
        <f>Cleaned_Data4[[#This Row],[Employee ID]]</f>
        <v>EMP1088</v>
      </c>
      <c r="B92" s="10" t="str">
        <f>IF(Cleaned_Data4[[#This Row],[Names]]="","Un-known",Cleaned_Data4[[#This Row],[Names]])</f>
        <v>Chris Lee</v>
      </c>
      <c r="C92" s="10" t="str">
        <f>IF(Cleaned_Data4[[#This Row],[Department]]="","Un-known",Cleaned_Data4[[#This Row],[Department]])</f>
        <v>IT</v>
      </c>
      <c r="D92" s="10" t="str">
        <f>IF(Cleaned_Data4[[#This Row],[Country]]="","Un-known",Cleaned_Data4[[#This Row],[Country]])</f>
        <v>Un-known</v>
      </c>
      <c r="E92" s="35">
        <f>IF(Cleaned_Data4[[#This Row],[Salary]]="N/A","0",Cleaned_Data4[[#This Row],[Salary]])</f>
        <v>63434</v>
      </c>
      <c r="F92" s="36">
        <f>IF(Cleaned_Data4[[#This Row],[Date of Joining]]="","Un-known",Cleaned_Data4[[#This Row],[Date of Joining]])</f>
        <v>42624</v>
      </c>
      <c r="G92" s="39">
        <f>IF(Cleaned_Data4[[#This Row],[Performance Rating]]="","N/A",Cleaned_Data4[[#This Row],[Performance Rating]])</f>
        <v>3</v>
      </c>
      <c r="H92" s="10" t="str">
        <f>IF(Cleaned_Data4[[#This Row],[Gender]]="","Un-known",Cleaned_Data4[[#This Row],[Gender]])</f>
        <v>Un-known</v>
      </c>
      <c r="I92" s="10" t="str">
        <f>IF(Cleaned_Data4[[#This Row],[Email]]="","invalid_email",Cleaned_Data4[[#This Row],[Email]])</f>
        <v>user48@example.com</v>
      </c>
    </row>
    <row r="93" spans="1:24" x14ac:dyDescent="0.25">
      <c r="A93" s="10" t="str">
        <f>Cleaned_Data4[[#This Row],[Employee ID]]</f>
        <v>EMP1089</v>
      </c>
      <c r="B93" s="10" t="str">
        <f>IF(Cleaned_Data4[[#This Row],[Names]]="","Un-known",Cleaned_Data4[[#This Row],[Names]])</f>
        <v>Jane Smith</v>
      </c>
      <c r="C93" s="10" t="str">
        <f>IF(Cleaned_Data4[[#This Row],[Department]]="","Un-known",Cleaned_Data4[[#This Row],[Department]])</f>
        <v>Un-known</v>
      </c>
      <c r="D93" s="10" t="str">
        <f>IF(Cleaned_Data4[[#This Row],[Country]]="","Un-known",Cleaned_Data4[[#This Row],[Country]])</f>
        <v>Australia</v>
      </c>
      <c r="E93" s="35">
        <f>IF(Cleaned_Data4[[#This Row],[Salary]]="N/A","0",Cleaned_Data4[[#This Row],[Salary]])</f>
        <v>38830</v>
      </c>
      <c r="F93" s="36">
        <f>IF(Cleaned_Data4[[#This Row],[Date of Joining]]="","Un-known",Cleaned_Data4[[#This Row],[Date of Joining]])</f>
        <v>42631</v>
      </c>
      <c r="G93" s="39">
        <f>IF(Cleaned_Data4[[#This Row],[Performance Rating]]="","N/A",Cleaned_Data4[[#This Row],[Performance Rating]])</f>
        <v>3</v>
      </c>
      <c r="H93" s="10" t="str">
        <f>IF(Cleaned_Data4[[#This Row],[Gender]]="","Un-known",Cleaned_Data4[[#This Row],[Gender]])</f>
        <v>Other</v>
      </c>
      <c r="I93" s="10" t="str">
        <f>IF(Cleaned_Data4[[#This Row],[Email]]="","invalid_email",Cleaned_Data4[[#This Row],[Email]])</f>
        <v>user149@example.com</v>
      </c>
    </row>
    <row r="94" spans="1:24" x14ac:dyDescent="0.25">
      <c r="A94" s="10" t="str">
        <f>Cleaned_Data4[[#This Row],[Employee ID]]</f>
        <v>EMP1090</v>
      </c>
      <c r="B94" s="10" t="str">
        <f>IF(Cleaned_Data4[[#This Row],[Names]]="","Un-known",Cleaned_Data4[[#This Row],[Names]])</f>
        <v>Un-known</v>
      </c>
      <c r="C94" s="10" t="str">
        <f>IF(Cleaned_Data4[[#This Row],[Department]]="","Un-known",Cleaned_Data4[[#This Row],[Department]])</f>
        <v>Marketing</v>
      </c>
      <c r="D94" s="10" t="str">
        <f>IF(Cleaned_Data4[[#This Row],[Country]]="","Un-known",Cleaned_Data4[[#This Row],[Country]])</f>
        <v>UK</v>
      </c>
      <c r="E94" s="35">
        <f>IF(Cleaned_Data4[[#This Row],[Salary]]="N/A","0",Cleaned_Data4[[#This Row],[Salary]])</f>
        <v>50741</v>
      </c>
      <c r="F94" s="36">
        <f>IF(Cleaned_Data4[[#This Row],[Date of Joining]]="","Un-known",Cleaned_Data4[[#This Row],[Date of Joining]])</f>
        <v>42638</v>
      </c>
      <c r="G94" s="39">
        <f>IF(Cleaned_Data4[[#This Row],[Performance Rating]]="","N/A",Cleaned_Data4[[#This Row],[Performance Rating]])</f>
        <v>3</v>
      </c>
      <c r="H94" s="10" t="str">
        <f>IF(Cleaned_Data4[[#This Row],[Gender]]="","Un-known",Cleaned_Data4[[#This Row],[Gender]])</f>
        <v>Unknown</v>
      </c>
      <c r="I94" s="10" t="str">
        <f>IF(Cleaned_Data4[[#This Row],[Email]]="","invalid_email",Cleaned_Data4[[#This Row],[Email]])</f>
        <v>user65@example.com</v>
      </c>
    </row>
    <row r="95" spans="1:24" x14ac:dyDescent="0.25">
      <c r="A95" s="10" t="str">
        <f>Cleaned_Data4[[#This Row],[Employee ID]]</f>
        <v>EMP1091</v>
      </c>
      <c r="B95" s="10" t="str">
        <f>IF(Cleaned_Data4[[#This Row],[Names]]="","Un-known",Cleaned_Data4[[#This Row],[Names]])</f>
        <v>Alice Brown</v>
      </c>
      <c r="C95" s="10" t="str">
        <f>IF(Cleaned_Data4[[#This Row],[Department]]="","Un-known",Cleaned_Data4[[#This Row],[Department]])</f>
        <v>HR</v>
      </c>
      <c r="D95" s="10" t="str">
        <f>IF(Cleaned_Data4[[#This Row],[Country]]="","Un-known",Cleaned_Data4[[#This Row],[Country]])</f>
        <v>Australia</v>
      </c>
      <c r="E95" s="35">
        <f>IF(Cleaned_Data4[[#This Row],[Salary]]="N/A","0",Cleaned_Data4[[#This Row],[Salary]])</f>
        <v>69420</v>
      </c>
      <c r="F95" s="36">
        <f>IF(Cleaned_Data4[[#This Row],[Date of Joining]]="","Un-known",Cleaned_Data4[[#This Row],[Date of Joining]])</f>
        <v>42645</v>
      </c>
      <c r="G95" s="39">
        <f>IF(Cleaned_Data4[[#This Row],[Performance Rating]]="","N/A",Cleaned_Data4[[#This Row],[Performance Rating]])</f>
        <v>1</v>
      </c>
      <c r="H95" s="10" t="str">
        <f>IF(Cleaned_Data4[[#This Row],[Gender]]="","Un-known",Cleaned_Data4[[#This Row],[Gender]])</f>
        <v>Male</v>
      </c>
      <c r="I95" s="10" t="str">
        <f>IF(Cleaned_Data4[[#This Row],[Email]]="","invalid_email",Cleaned_Data4[[#This Row],[Email]])</f>
        <v>user43@example.com</v>
      </c>
    </row>
    <row r="96" spans="1:24" x14ac:dyDescent="0.25">
      <c r="A96" s="10" t="str">
        <f>Cleaned_Data4[[#This Row],[Employee ID]]</f>
        <v>EMP1092</v>
      </c>
      <c r="B96" s="10" t="str">
        <f>IF(Cleaned_Data4[[#This Row],[Names]]="","Un-known",Cleaned_Data4[[#This Row],[Names]])</f>
        <v>Jane Smith</v>
      </c>
      <c r="C96" s="10" t="str">
        <f>IF(Cleaned_Data4[[#This Row],[Department]]="","Un-known",Cleaned_Data4[[#This Row],[Department]])</f>
        <v>IT</v>
      </c>
      <c r="D96" s="10" t="str">
        <f>IF(Cleaned_Data4[[#This Row],[Country]]="","Un-known",Cleaned_Data4[[#This Row],[Country]])</f>
        <v>Un-known</v>
      </c>
      <c r="E96" s="35">
        <f>IF(Cleaned_Data4[[#This Row],[Salary]]="N/A","0",Cleaned_Data4[[#This Row],[Salary]])</f>
        <v>80588</v>
      </c>
      <c r="F96" s="36">
        <f>IF(Cleaned_Data4[[#This Row],[Date of Joining]]="","Un-known",Cleaned_Data4[[#This Row],[Date of Joining]])</f>
        <v>42652</v>
      </c>
      <c r="G96" s="39">
        <f>IF(Cleaned_Data4[[#This Row],[Performance Rating]]="","N/A",Cleaned_Data4[[#This Row],[Performance Rating]])</f>
        <v>5</v>
      </c>
      <c r="H96" s="10" t="str">
        <f>IF(Cleaned_Data4[[#This Row],[Gender]]="","Un-known",Cleaned_Data4[[#This Row],[Gender]])</f>
        <v>Male</v>
      </c>
      <c r="I96" s="10" t="str">
        <f>IF(Cleaned_Data4[[#This Row],[Email]]="","invalid_email",Cleaned_Data4[[#This Row],[Email]])</f>
        <v>user98@example.com</v>
      </c>
    </row>
    <row r="97" spans="1:9" x14ac:dyDescent="0.25">
      <c r="A97" s="10" t="str">
        <f>Cleaned_Data4[[#This Row],[Employee ID]]</f>
        <v>EMP1093</v>
      </c>
      <c r="B97" s="10" t="str">
        <f>IF(Cleaned_Data4[[#This Row],[Names]]="","Un-known",Cleaned_Data4[[#This Row],[Names]])</f>
        <v>Alice Brown</v>
      </c>
      <c r="C97" s="10" t="str">
        <f>IF(Cleaned_Data4[[#This Row],[Department]]="","Un-known",Cleaned_Data4[[#This Row],[Department]])</f>
        <v>Un-known</v>
      </c>
      <c r="D97" s="10" t="str">
        <f>IF(Cleaned_Data4[[#This Row],[Country]]="","Un-known",Cleaned_Data4[[#This Row],[Country]])</f>
        <v>USA</v>
      </c>
      <c r="E97" s="35">
        <f>IF(Cleaned_Data4[[#This Row],[Salary]]="N/A","0",Cleaned_Data4[[#This Row],[Salary]])</f>
        <v>76238</v>
      </c>
      <c r="F97" s="36">
        <f>IF(Cleaned_Data4[[#This Row],[Date of Joining]]="","Un-known",Cleaned_Data4[[#This Row],[Date of Joining]])</f>
        <v>42659</v>
      </c>
      <c r="G97" s="39">
        <f>IF(Cleaned_Data4[[#This Row],[Performance Rating]]="","N/A",Cleaned_Data4[[#This Row],[Performance Rating]])</f>
        <v>4</v>
      </c>
      <c r="H97" s="10" t="str">
        <f>IF(Cleaned_Data4[[#This Row],[Gender]]="","Un-known",Cleaned_Data4[[#This Row],[Gender]])</f>
        <v>Male</v>
      </c>
      <c r="I97" s="10" t="str">
        <f>IF(Cleaned_Data4[[#This Row],[Email]]="","invalid_email",Cleaned_Data4[[#This Row],[Email]])</f>
        <v>user102@example.com</v>
      </c>
    </row>
    <row r="98" spans="1:9" x14ac:dyDescent="0.25">
      <c r="A98" s="10" t="str">
        <f>Cleaned_Data4[[#This Row],[Employee ID]]</f>
        <v>EMP1094</v>
      </c>
      <c r="B98" s="10" t="str">
        <f>IF(Cleaned_Data4[[#This Row],[Names]]="","Un-known",Cleaned_Data4[[#This Row],[Names]])</f>
        <v>Bob Johnson</v>
      </c>
      <c r="C98" s="10" t="str">
        <f>IF(Cleaned_Data4[[#This Row],[Department]]="","Un-known",Cleaned_Data4[[#This Row],[Department]])</f>
        <v>IT</v>
      </c>
      <c r="D98" s="10" t="str">
        <f>IF(Cleaned_Data4[[#This Row],[Country]]="","Un-known",Cleaned_Data4[[#This Row],[Country]])</f>
        <v>India</v>
      </c>
      <c r="E98" s="35">
        <f>IF(Cleaned_Data4[[#This Row],[Salary]]="N/A","0",Cleaned_Data4[[#This Row],[Salary]])</f>
        <v>33264</v>
      </c>
      <c r="F98" s="36">
        <f>IF(Cleaned_Data4[[#This Row],[Date of Joining]]="","Un-known",Cleaned_Data4[[#This Row],[Date of Joining]])</f>
        <v>42666</v>
      </c>
      <c r="G98" s="39" t="str">
        <f>IF(Cleaned_Data4[[#This Row],[Performance Rating]]="","N/A",Cleaned_Data4[[#This Row],[Performance Rating]])</f>
        <v>N/A</v>
      </c>
      <c r="H98" s="10" t="str">
        <f>IF(Cleaned_Data4[[#This Row],[Gender]]="","Un-known",Cleaned_Data4[[#This Row],[Gender]])</f>
        <v>Female</v>
      </c>
      <c r="I98" s="10" t="str">
        <f>IF(Cleaned_Data4[[#This Row],[Email]]="","invalid_email",Cleaned_Data4[[#This Row],[Email]])</f>
        <v>user148@example.com</v>
      </c>
    </row>
    <row r="99" spans="1:9" x14ac:dyDescent="0.25">
      <c r="A99" s="10" t="str">
        <f>Cleaned_Data4[[#This Row],[Employee ID]]</f>
        <v>EMP1095</v>
      </c>
      <c r="B99" s="10" t="str">
        <f>IF(Cleaned_Data4[[#This Row],[Names]]="","Un-known",Cleaned_Data4[[#This Row],[Names]])</f>
        <v>Alice Brown</v>
      </c>
      <c r="C99" s="10" t="str">
        <f>IF(Cleaned_Data4[[#This Row],[Department]]="","Un-known",Cleaned_Data4[[#This Row],[Department]])</f>
        <v>Finance</v>
      </c>
      <c r="D99" s="10" t="str">
        <f>IF(Cleaned_Data4[[#This Row],[Country]]="","Un-known",Cleaned_Data4[[#This Row],[Country]])</f>
        <v>Australia</v>
      </c>
      <c r="E99" s="35">
        <f>IF(Cleaned_Data4[[#This Row],[Salary]]="N/A","0",Cleaned_Data4[[#This Row],[Salary]])</f>
        <v>96101</v>
      </c>
      <c r="F99" s="36">
        <f>IF(Cleaned_Data4[[#This Row],[Date of Joining]]="","Un-known",Cleaned_Data4[[#This Row],[Date of Joining]])</f>
        <v>42673</v>
      </c>
      <c r="G99" s="39" t="str">
        <f>IF(Cleaned_Data4[[#This Row],[Performance Rating]]="","N/A",Cleaned_Data4[[#This Row],[Performance Rating]])</f>
        <v>N/A</v>
      </c>
      <c r="H99" s="10" t="str">
        <f>IF(Cleaned_Data4[[#This Row],[Gender]]="","Un-known",Cleaned_Data4[[#This Row],[Gender]])</f>
        <v>Other</v>
      </c>
      <c r="I99" s="10" t="str">
        <f>IF(Cleaned_Data4[[#This Row],[Email]]="","invalid_email",Cleaned_Data4[[#This Row],[Email]])</f>
        <v>user155@example.com</v>
      </c>
    </row>
    <row r="100" spans="1:9" x14ac:dyDescent="0.25">
      <c r="A100" s="10" t="str">
        <f>Cleaned_Data4[[#This Row],[Employee ID]]</f>
        <v>EMP1096</v>
      </c>
      <c r="B100" s="10" t="str">
        <f>IF(Cleaned_Data4[[#This Row],[Names]]="","Un-known",Cleaned_Data4[[#This Row],[Names]])</f>
        <v>Jane Smith</v>
      </c>
      <c r="C100" s="10" t="str">
        <f>IF(Cleaned_Data4[[#This Row],[Department]]="","Un-known",Cleaned_Data4[[#This Row],[Department]])</f>
        <v>Finance</v>
      </c>
      <c r="D100" s="10" t="str">
        <f>IF(Cleaned_Data4[[#This Row],[Country]]="","Un-known",Cleaned_Data4[[#This Row],[Country]])</f>
        <v>USA</v>
      </c>
      <c r="E100" s="35">
        <f>IF(Cleaned_Data4[[#This Row],[Salary]]="N/A","0",Cleaned_Data4[[#This Row],[Salary]])</f>
        <v>72939</v>
      </c>
      <c r="F100" s="36">
        <f>IF(Cleaned_Data4[[#This Row],[Date of Joining]]="","Un-known",Cleaned_Data4[[#This Row],[Date of Joining]])</f>
        <v>42680</v>
      </c>
      <c r="G100" s="39">
        <f>IF(Cleaned_Data4[[#This Row],[Performance Rating]]="","N/A",Cleaned_Data4[[#This Row],[Performance Rating]])</f>
        <v>3</v>
      </c>
      <c r="H100" s="10" t="str">
        <f>IF(Cleaned_Data4[[#This Row],[Gender]]="","Un-known",Cleaned_Data4[[#This Row],[Gender]])</f>
        <v>Un-known</v>
      </c>
      <c r="I100" s="10" t="str">
        <f>IF(Cleaned_Data4[[#This Row],[Email]]="","invalid_email",Cleaned_Data4[[#This Row],[Email]])</f>
        <v>user191@example.com</v>
      </c>
    </row>
    <row r="101" spans="1:9" x14ac:dyDescent="0.25">
      <c r="A101" s="10" t="str">
        <f>Cleaned_Data4[[#This Row],[Employee ID]]</f>
        <v>EMP1097</v>
      </c>
      <c r="B101" s="10" t="str">
        <f>IF(Cleaned_Data4[[#This Row],[Names]]="","Un-known",Cleaned_Data4[[#This Row],[Names]])</f>
        <v>Sam Wilson</v>
      </c>
      <c r="C101" s="10" t="str">
        <f>IF(Cleaned_Data4[[#This Row],[Department]]="","Un-known",Cleaned_Data4[[#This Row],[Department]])</f>
        <v>HR</v>
      </c>
      <c r="D101" s="10" t="str">
        <f>IF(Cleaned_Data4[[#This Row],[Country]]="","Un-known",Cleaned_Data4[[#This Row],[Country]])</f>
        <v>Germany</v>
      </c>
      <c r="E101" s="35">
        <f>IF(Cleaned_Data4[[#This Row],[Salary]]="N/A","0",Cleaned_Data4[[#This Row],[Salary]])</f>
        <v>89333</v>
      </c>
      <c r="F101" s="36">
        <f>IF(Cleaned_Data4[[#This Row],[Date of Joining]]="","Un-known",Cleaned_Data4[[#This Row],[Date of Joining]])</f>
        <v>42687</v>
      </c>
      <c r="G101" s="39">
        <f>IF(Cleaned_Data4[[#This Row],[Performance Rating]]="","N/A",Cleaned_Data4[[#This Row],[Performance Rating]])</f>
        <v>1</v>
      </c>
      <c r="H101" s="10" t="str">
        <f>IF(Cleaned_Data4[[#This Row],[Gender]]="","Un-known",Cleaned_Data4[[#This Row],[Gender]])</f>
        <v>Male</v>
      </c>
      <c r="I101" s="10" t="str">
        <f>IF(Cleaned_Data4[[#This Row],[Email]]="","invalid_email",Cleaned_Data4[[#This Row],[Email]])</f>
        <v>user113@example.com</v>
      </c>
    </row>
    <row r="102" spans="1:9" x14ac:dyDescent="0.25">
      <c r="A102" s="10" t="str">
        <f>Cleaned_Data4[[#This Row],[Employee ID]]</f>
        <v>EMP1098</v>
      </c>
      <c r="B102" s="10" t="str">
        <f>IF(Cleaned_Data4[[#This Row],[Names]]="","Un-known",Cleaned_Data4[[#This Row],[Names]])</f>
        <v>Bob Johnson</v>
      </c>
      <c r="C102" s="10" t="str">
        <f>IF(Cleaned_Data4[[#This Row],[Department]]="","Un-known",Cleaned_Data4[[#This Row],[Department]])</f>
        <v>IT</v>
      </c>
      <c r="D102" s="10" t="str">
        <f>IF(Cleaned_Data4[[#This Row],[Country]]="","Un-known",Cleaned_Data4[[#This Row],[Country]])</f>
        <v>Australia</v>
      </c>
      <c r="E102" s="35">
        <f>IF(Cleaned_Data4[[#This Row],[Salary]]="N/A","0",Cleaned_Data4[[#This Row],[Salary]])</f>
        <v>70470</v>
      </c>
      <c r="F102" s="36">
        <f>IF(Cleaned_Data4[[#This Row],[Date of Joining]]="","Un-known",Cleaned_Data4[[#This Row],[Date of Joining]])</f>
        <v>42694</v>
      </c>
      <c r="G102" s="39" t="str">
        <f>IF(Cleaned_Data4[[#This Row],[Performance Rating]]="","N/A",Cleaned_Data4[[#This Row],[Performance Rating]])</f>
        <v>N/A</v>
      </c>
      <c r="H102" s="10" t="str">
        <f>IF(Cleaned_Data4[[#This Row],[Gender]]="","Un-known",Cleaned_Data4[[#This Row],[Gender]])</f>
        <v>Male</v>
      </c>
      <c r="I102" s="10" t="str">
        <f>IF(Cleaned_Data4[[#This Row],[Email]]="","invalid_email",Cleaned_Data4[[#This Row],[Email]])</f>
        <v>user62@example.com</v>
      </c>
    </row>
    <row r="103" spans="1:9" x14ac:dyDescent="0.25">
      <c r="A103" s="10" t="str">
        <f>Cleaned_Data4[[#This Row],[Employee ID]]</f>
        <v>EMP1099</v>
      </c>
      <c r="B103" s="10" t="str">
        <f>IF(Cleaned_Data4[[#This Row],[Names]]="","Un-known",Cleaned_Data4[[#This Row],[Names]])</f>
        <v>Eve Adams</v>
      </c>
      <c r="C103" s="10" t="str">
        <f>IF(Cleaned_Data4[[#This Row],[Department]]="","Un-known",Cleaned_Data4[[#This Row],[Department]])</f>
        <v>Marketing</v>
      </c>
      <c r="D103" s="10" t="str">
        <f>IF(Cleaned_Data4[[#This Row],[Country]]="","Un-known",Cleaned_Data4[[#This Row],[Country]])</f>
        <v>USA</v>
      </c>
      <c r="E103" s="35">
        <f>IF(Cleaned_Data4[[#This Row],[Salary]]="N/A","0",Cleaned_Data4[[#This Row],[Salary]])</f>
        <v>70096</v>
      </c>
      <c r="F103" s="36">
        <f>IF(Cleaned_Data4[[#This Row],[Date of Joining]]="","Un-known",Cleaned_Data4[[#This Row],[Date of Joining]])</f>
        <v>42701</v>
      </c>
      <c r="G103" s="39">
        <f>IF(Cleaned_Data4[[#This Row],[Performance Rating]]="","N/A",Cleaned_Data4[[#This Row],[Performance Rating]])</f>
        <v>4</v>
      </c>
      <c r="H103" s="10" t="str">
        <f>IF(Cleaned_Data4[[#This Row],[Gender]]="","Un-known",Cleaned_Data4[[#This Row],[Gender]])</f>
        <v>Male</v>
      </c>
      <c r="I103" s="10" t="str">
        <f>IF(Cleaned_Data4[[#This Row],[Email]]="","invalid_email",Cleaned_Data4[[#This Row],[Email]])</f>
        <v>user76@example.com</v>
      </c>
    </row>
    <row r="104" spans="1:9" x14ac:dyDescent="0.25">
      <c r="A104" s="10" t="str">
        <f>Cleaned_Data4[[#This Row],[Employee ID]]</f>
        <v>EMP1100</v>
      </c>
      <c r="B104" s="10" t="str">
        <f>IF(Cleaned_Data4[[#This Row],[Names]]="","Un-known",Cleaned_Data4[[#This Row],[Names]])</f>
        <v>Bob Johnson</v>
      </c>
      <c r="C104" s="10" t="str">
        <f>IF(Cleaned_Data4[[#This Row],[Department]]="","Un-known",Cleaned_Data4[[#This Row],[Department]])</f>
        <v>Marketing</v>
      </c>
      <c r="D104" s="10" t="str">
        <f>IF(Cleaned_Data4[[#This Row],[Country]]="","Un-known",Cleaned_Data4[[#This Row],[Country]])</f>
        <v>Un-known</v>
      </c>
      <c r="E104" s="35" t="str">
        <f>IF(Cleaned_Data4[[#This Row],[Salary]]="N/A","0",Cleaned_Data4[[#This Row],[Salary]])</f>
        <v>0</v>
      </c>
      <c r="F104" s="36">
        <f>IF(Cleaned_Data4[[#This Row],[Date of Joining]]="","Un-known",Cleaned_Data4[[#This Row],[Date of Joining]])</f>
        <v>42708</v>
      </c>
      <c r="G104" s="39">
        <f>IF(Cleaned_Data4[[#This Row],[Performance Rating]]="","N/A",Cleaned_Data4[[#This Row],[Performance Rating]])</f>
        <v>2</v>
      </c>
      <c r="H104" s="10" t="str">
        <f>IF(Cleaned_Data4[[#This Row],[Gender]]="","Un-known",Cleaned_Data4[[#This Row],[Gender]])</f>
        <v>Other</v>
      </c>
      <c r="I104" s="10" t="str">
        <f>IF(Cleaned_Data4[[#This Row],[Email]]="","invalid_email",Cleaned_Data4[[#This Row],[Email]])</f>
        <v>user40@example.com</v>
      </c>
    </row>
    <row r="105" spans="1:9" x14ac:dyDescent="0.25">
      <c r="A105" s="10" t="str">
        <f>Cleaned_Data4[[#This Row],[Employee ID]]</f>
        <v>EMP1101</v>
      </c>
      <c r="B105" s="10" t="str">
        <f>IF(Cleaned_Data4[[#This Row],[Names]]="","Un-known",Cleaned_Data4[[#This Row],[Names]])</f>
        <v>Bob Johnson</v>
      </c>
      <c r="C105" s="10" t="str">
        <f>IF(Cleaned_Data4[[#This Row],[Department]]="","Un-known",Cleaned_Data4[[#This Row],[Department]])</f>
        <v>IT</v>
      </c>
      <c r="D105" s="10" t="str">
        <f>IF(Cleaned_Data4[[#This Row],[Country]]="","Un-known",Cleaned_Data4[[#This Row],[Country]])</f>
        <v>Germany</v>
      </c>
      <c r="E105" s="35">
        <f>IF(Cleaned_Data4[[#This Row],[Salary]]="N/A","0",Cleaned_Data4[[#This Row],[Salary]])</f>
        <v>66503</v>
      </c>
      <c r="F105" s="36">
        <f>IF(Cleaned_Data4[[#This Row],[Date of Joining]]="","Un-known",Cleaned_Data4[[#This Row],[Date of Joining]])</f>
        <v>42715</v>
      </c>
      <c r="G105" s="39" t="str">
        <f>IF(Cleaned_Data4[[#This Row],[Performance Rating]]="","N/A",Cleaned_Data4[[#This Row],[Performance Rating]])</f>
        <v>N/A</v>
      </c>
      <c r="H105" s="10" t="str">
        <f>IF(Cleaned_Data4[[#This Row],[Gender]]="","Un-known",Cleaned_Data4[[#This Row],[Gender]])</f>
        <v>Male</v>
      </c>
      <c r="I105" s="10" t="str">
        <f>IF(Cleaned_Data4[[#This Row],[Email]]="","invalid_email",Cleaned_Data4[[#This Row],[Email]])</f>
        <v>user200@example.com</v>
      </c>
    </row>
    <row r="106" spans="1:9" x14ac:dyDescent="0.25">
      <c r="A106" s="10" t="str">
        <f>Cleaned_Data4[[#This Row],[Employee ID]]</f>
        <v>EMP1102</v>
      </c>
      <c r="B106" s="10" t="str">
        <f>IF(Cleaned_Data4[[#This Row],[Names]]="","Un-known",Cleaned_Data4[[#This Row],[Names]])</f>
        <v>Alice Brown</v>
      </c>
      <c r="C106" s="10" t="str">
        <f>IF(Cleaned_Data4[[#This Row],[Department]]="","Un-known",Cleaned_Data4[[#This Row],[Department]])</f>
        <v>HR</v>
      </c>
      <c r="D106" s="10" t="str">
        <f>IF(Cleaned_Data4[[#This Row],[Country]]="","Un-known",Cleaned_Data4[[#This Row],[Country]])</f>
        <v>Germany</v>
      </c>
      <c r="E106" s="35">
        <f>IF(Cleaned_Data4[[#This Row],[Salary]]="N/A","0",Cleaned_Data4[[#This Row],[Salary]])</f>
        <v>42096</v>
      </c>
      <c r="F106" s="36">
        <f>IF(Cleaned_Data4[[#This Row],[Date of Joining]]="","Un-known",Cleaned_Data4[[#This Row],[Date of Joining]])</f>
        <v>42722</v>
      </c>
      <c r="G106" s="39" t="str">
        <f>IF(Cleaned_Data4[[#This Row],[Performance Rating]]="","N/A",Cleaned_Data4[[#This Row],[Performance Rating]])</f>
        <v>N/A</v>
      </c>
      <c r="H106" s="10" t="str">
        <f>IF(Cleaned_Data4[[#This Row],[Gender]]="","Un-known",Cleaned_Data4[[#This Row],[Gender]])</f>
        <v>Female</v>
      </c>
      <c r="I106" s="10" t="str">
        <f>IF(Cleaned_Data4[[#This Row],[Email]]="","invalid_email",Cleaned_Data4[[#This Row],[Email]])</f>
        <v>user54@example.com</v>
      </c>
    </row>
    <row r="107" spans="1:9" x14ac:dyDescent="0.25">
      <c r="A107" s="10" t="str">
        <f>Cleaned_Data4[[#This Row],[Employee ID]]</f>
        <v>EMP1103</v>
      </c>
      <c r="B107" s="10" t="str">
        <f>IF(Cleaned_Data4[[#This Row],[Names]]="","Un-known",Cleaned_Data4[[#This Row],[Names]])</f>
        <v>Alice Brown</v>
      </c>
      <c r="C107" s="10" t="str">
        <f>IF(Cleaned_Data4[[#This Row],[Department]]="","Un-known",Cleaned_Data4[[#This Row],[Department]])</f>
        <v>Marketing</v>
      </c>
      <c r="D107" s="10" t="str">
        <f>IF(Cleaned_Data4[[#This Row],[Country]]="","Un-known",Cleaned_Data4[[#This Row],[Country]])</f>
        <v>Un-known</v>
      </c>
      <c r="E107" s="35">
        <f>IF(Cleaned_Data4[[#This Row],[Salary]]="N/A","0",Cleaned_Data4[[#This Row],[Salary]])</f>
        <v>79145</v>
      </c>
      <c r="F107" s="36">
        <f>IF(Cleaned_Data4[[#This Row],[Date of Joining]]="","Un-known",Cleaned_Data4[[#This Row],[Date of Joining]])</f>
        <v>42729</v>
      </c>
      <c r="G107" s="39">
        <f>IF(Cleaned_Data4[[#This Row],[Performance Rating]]="","N/A",Cleaned_Data4[[#This Row],[Performance Rating]])</f>
        <v>5</v>
      </c>
      <c r="H107" s="10" t="str">
        <f>IF(Cleaned_Data4[[#This Row],[Gender]]="","Un-known",Cleaned_Data4[[#This Row],[Gender]])</f>
        <v>Other</v>
      </c>
      <c r="I107" s="10" t="str">
        <f>IF(Cleaned_Data4[[#This Row],[Email]]="","invalid_email",Cleaned_Data4[[#This Row],[Email]])</f>
        <v>user20@example.com</v>
      </c>
    </row>
    <row r="108" spans="1:9" x14ac:dyDescent="0.25">
      <c r="A108" s="10" t="str">
        <f>Cleaned_Data4[[#This Row],[Employee ID]]</f>
        <v>EMP1104</v>
      </c>
      <c r="B108" s="10" t="str">
        <f>IF(Cleaned_Data4[[#This Row],[Names]]="","Un-known",Cleaned_Data4[[#This Row],[Names]])</f>
        <v>Jane Smith</v>
      </c>
      <c r="C108" s="10" t="str">
        <f>IF(Cleaned_Data4[[#This Row],[Department]]="","Un-known",Cleaned_Data4[[#This Row],[Department]])</f>
        <v>Un-known</v>
      </c>
      <c r="D108" s="10" t="str">
        <f>IF(Cleaned_Data4[[#This Row],[Country]]="","Un-known",Cleaned_Data4[[#This Row],[Country]])</f>
        <v>Australia</v>
      </c>
      <c r="E108" s="35">
        <f>IF(Cleaned_Data4[[#This Row],[Salary]]="N/A","0",Cleaned_Data4[[#This Row],[Salary]])</f>
        <v>61556</v>
      </c>
      <c r="F108" s="36">
        <f>IF(Cleaned_Data4[[#This Row],[Date of Joining]]="","Un-known",Cleaned_Data4[[#This Row],[Date of Joining]])</f>
        <v>42736</v>
      </c>
      <c r="G108" s="39">
        <f>IF(Cleaned_Data4[[#This Row],[Performance Rating]]="","N/A",Cleaned_Data4[[#This Row],[Performance Rating]])</f>
        <v>1</v>
      </c>
      <c r="H108" s="10" t="str">
        <f>IF(Cleaned_Data4[[#This Row],[Gender]]="","Un-known",Cleaned_Data4[[#This Row],[Gender]])</f>
        <v>Un-known</v>
      </c>
      <c r="I108" s="10" t="str">
        <f>IF(Cleaned_Data4[[#This Row],[Email]]="","invalid_email",Cleaned_Data4[[#This Row],[Email]])</f>
        <v>user40@example.com</v>
      </c>
    </row>
    <row r="109" spans="1:9" x14ac:dyDescent="0.25">
      <c r="A109" s="10" t="str">
        <f>Cleaned_Data4[[#This Row],[Employee ID]]</f>
        <v>EMP1105</v>
      </c>
      <c r="B109" s="10" t="str">
        <f>IF(Cleaned_Data4[[#This Row],[Names]]="","Un-known",Cleaned_Data4[[#This Row],[Names]])</f>
        <v>Un-known</v>
      </c>
      <c r="C109" s="10" t="str">
        <f>IF(Cleaned_Data4[[#This Row],[Department]]="","Un-known",Cleaned_Data4[[#This Row],[Department]])</f>
        <v>HR</v>
      </c>
      <c r="D109" s="10" t="str">
        <f>IF(Cleaned_Data4[[#This Row],[Country]]="","Un-known",Cleaned_Data4[[#This Row],[Country]])</f>
        <v>UK</v>
      </c>
      <c r="E109" s="35">
        <f>IF(Cleaned_Data4[[#This Row],[Salary]]="N/A","0",Cleaned_Data4[[#This Row],[Salary]])</f>
        <v>87963</v>
      </c>
      <c r="F109" s="36">
        <f>IF(Cleaned_Data4[[#This Row],[Date of Joining]]="","Un-known",Cleaned_Data4[[#This Row],[Date of Joining]])</f>
        <v>42743</v>
      </c>
      <c r="G109" s="39">
        <f>IF(Cleaned_Data4[[#This Row],[Performance Rating]]="","N/A",Cleaned_Data4[[#This Row],[Performance Rating]])</f>
        <v>3</v>
      </c>
      <c r="H109" s="10" t="str">
        <f>IF(Cleaned_Data4[[#This Row],[Gender]]="","Un-known",Cleaned_Data4[[#This Row],[Gender]])</f>
        <v>Other</v>
      </c>
      <c r="I109" s="10" t="str">
        <f>IF(Cleaned_Data4[[#This Row],[Email]]="","invalid_email",Cleaned_Data4[[#This Row],[Email]])</f>
        <v>invalid_email</v>
      </c>
    </row>
    <row r="110" spans="1:9" x14ac:dyDescent="0.25">
      <c r="A110" s="10" t="str">
        <f>Cleaned_Data4[[#This Row],[Employee ID]]</f>
        <v>EMP1106</v>
      </c>
      <c r="B110" s="10" t="str">
        <f>IF(Cleaned_Data4[[#This Row],[Names]]="","Un-known",Cleaned_Data4[[#This Row],[Names]])</f>
        <v>Eve Adams</v>
      </c>
      <c r="C110" s="10" t="str">
        <f>IF(Cleaned_Data4[[#This Row],[Department]]="","Un-known",Cleaned_Data4[[#This Row],[Department]])</f>
        <v>IT</v>
      </c>
      <c r="D110" s="10" t="str">
        <f>IF(Cleaned_Data4[[#This Row],[Country]]="","Un-known",Cleaned_Data4[[#This Row],[Country]])</f>
        <v>Un-known</v>
      </c>
      <c r="E110" s="35">
        <f>IF(Cleaned_Data4[[#This Row],[Salary]]="N/A","0",Cleaned_Data4[[#This Row],[Salary]])</f>
        <v>48325</v>
      </c>
      <c r="F110" s="36">
        <f>IF(Cleaned_Data4[[#This Row],[Date of Joining]]="","Un-known",Cleaned_Data4[[#This Row],[Date of Joining]])</f>
        <v>42750</v>
      </c>
      <c r="G110" s="39" t="str">
        <f>IF(Cleaned_Data4[[#This Row],[Performance Rating]]="","N/A",Cleaned_Data4[[#This Row],[Performance Rating]])</f>
        <v>N/A</v>
      </c>
      <c r="H110" s="10" t="str">
        <f>IF(Cleaned_Data4[[#This Row],[Gender]]="","Un-known",Cleaned_Data4[[#This Row],[Gender]])</f>
        <v>Male</v>
      </c>
      <c r="I110" s="10" t="str">
        <f>IF(Cleaned_Data4[[#This Row],[Email]]="","invalid_email",Cleaned_Data4[[#This Row],[Email]])</f>
        <v>user189@example.com</v>
      </c>
    </row>
    <row r="111" spans="1:9" x14ac:dyDescent="0.25">
      <c r="A111" s="10" t="str">
        <f>Cleaned_Data4[[#This Row],[Employee ID]]</f>
        <v>EMP1107</v>
      </c>
      <c r="B111" s="10" t="str">
        <f>IF(Cleaned_Data4[[#This Row],[Names]]="","Un-known",Cleaned_Data4[[#This Row],[Names]])</f>
        <v>Sam Wilson</v>
      </c>
      <c r="C111" s="10" t="str">
        <f>IF(Cleaned_Data4[[#This Row],[Department]]="","Un-known",Cleaned_Data4[[#This Row],[Department]])</f>
        <v>Marketing</v>
      </c>
      <c r="D111" s="10" t="str">
        <f>IF(Cleaned_Data4[[#This Row],[Country]]="","Un-known",Cleaned_Data4[[#This Row],[Country]])</f>
        <v>Australia</v>
      </c>
      <c r="E111" s="35">
        <f>IF(Cleaned_Data4[[#This Row],[Salary]]="N/A","0",Cleaned_Data4[[#This Row],[Salary]])</f>
        <v>86412</v>
      </c>
      <c r="F111" s="36">
        <f>IF(Cleaned_Data4[[#This Row],[Date of Joining]]="","Un-known",Cleaned_Data4[[#This Row],[Date of Joining]])</f>
        <v>42757</v>
      </c>
      <c r="G111" s="39">
        <f>IF(Cleaned_Data4[[#This Row],[Performance Rating]]="","N/A",Cleaned_Data4[[#This Row],[Performance Rating]])</f>
        <v>2</v>
      </c>
      <c r="H111" s="10" t="str">
        <f>IF(Cleaned_Data4[[#This Row],[Gender]]="","Un-known",Cleaned_Data4[[#This Row],[Gender]])</f>
        <v>Female</v>
      </c>
      <c r="I111" s="10" t="str">
        <f>IF(Cleaned_Data4[[#This Row],[Email]]="","invalid_email",Cleaned_Data4[[#This Row],[Email]])</f>
        <v>user128@example.com</v>
      </c>
    </row>
    <row r="112" spans="1:9" x14ac:dyDescent="0.25">
      <c r="A112" s="10" t="str">
        <f>Cleaned_Data4[[#This Row],[Employee ID]]</f>
        <v>EMP1108</v>
      </c>
      <c r="B112" s="10" t="str">
        <f>IF(Cleaned_Data4[[#This Row],[Names]]="","Un-known",Cleaned_Data4[[#This Row],[Names]])</f>
        <v>Sam Wilson</v>
      </c>
      <c r="C112" s="10" t="str">
        <f>IF(Cleaned_Data4[[#This Row],[Department]]="","Un-known",Cleaned_Data4[[#This Row],[Department]])</f>
        <v>HR</v>
      </c>
      <c r="D112" s="10" t="str">
        <f>IF(Cleaned_Data4[[#This Row],[Country]]="","Un-known",Cleaned_Data4[[#This Row],[Country]])</f>
        <v>Un-known</v>
      </c>
      <c r="E112" s="35">
        <f>IF(Cleaned_Data4[[#This Row],[Salary]]="N/A","0",Cleaned_Data4[[#This Row],[Salary]])</f>
        <v>66761</v>
      </c>
      <c r="F112" s="36">
        <f>IF(Cleaned_Data4[[#This Row],[Date of Joining]]="","Un-known",Cleaned_Data4[[#This Row],[Date of Joining]])</f>
        <v>42764</v>
      </c>
      <c r="G112" s="39">
        <f>IF(Cleaned_Data4[[#This Row],[Performance Rating]]="","N/A",Cleaned_Data4[[#This Row],[Performance Rating]])</f>
        <v>1</v>
      </c>
      <c r="H112" s="10" t="str">
        <f>IF(Cleaned_Data4[[#This Row],[Gender]]="","Un-known",Cleaned_Data4[[#This Row],[Gender]])</f>
        <v>Un-known</v>
      </c>
      <c r="I112" s="10" t="str">
        <f>IF(Cleaned_Data4[[#This Row],[Email]]="","invalid_email",Cleaned_Data4[[#This Row],[Email]])</f>
        <v>user93@example.com</v>
      </c>
    </row>
    <row r="113" spans="1:9" x14ac:dyDescent="0.25">
      <c r="A113" s="10" t="str">
        <f>Cleaned_Data4[[#This Row],[Employee ID]]</f>
        <v>EMP1109</v>
      </c>
      <c r="B113" s="10" t="str">
        <f>IF(Cleaned_Data4[[#This Row],[Names]]="","Un-known",Cleaned_Data4[[#This Row],[Names]])</f>
        <v>Jane Smith</v>
      </c>
      <c r="C113" s="10" t="str">
        <f>IF(Cleaned_Data4[[#This Row],[Department]]="","Un-known",Cleaned_Data4[[#This Row],[Department]])</f>
        <v>Un-known</v>
      </c>
      <c r="D113" s="10" t="str">
        <f>IF(Cleaned_Data4[[#This Row],[Country]]="","Un-known",Cleaned_Data4[[#This Row],[Country]])</f>
        <v>India</v>
      </c>
      <c r="E113" s="35">
        <f>IF(Cleaned_Data4[[#This Row],[Salary]]="N/A","0",Cleaned_Data4[[#This Row],[Salary]])</f>
        <v>88850</v>
      </c>
      <c r="F113" s="36">
        <f>IF(Cleaned_Data4[[#This Row],[Date of Joining]]="","Un-known",Cleaned_Data4[[#This Row],[Date of Joining]])</f>
        <v>42771</v>
      </c>
      <c r="G113" s="39">
        <f>IF(Cleaned_Data4[[#This Row],[Performance Rating]]="","N/A",Cleaned_Data4[[#This Row],[Performance Rating]])</f>
        <v>1</v>
      </c>
      <c r="H113" s="10" t="str">
        <f>IF(Cleaned_Data4[[#This Row],[Gender]]="","Un-known",Cleaned_Data4[[#This Row],[Gender]])</f>
        <v>Female</v>
      </c>
      <c r="I113" s="10" t="str">
        <f>IF(Cleaned_Data4[[#This Row],[Email]]="","invalid_email",Cleaned_Data4[[#This Row],[Email]])</f>
        <v>user174@example.com</v>
      </c>
    </row>
    <row r="114" spans="1:9" x14ac:dyDescent="0.25">
      <c r="A114" s="10" t="str">
        <f>Cleaned_Data4[[#This Row],[Employee ID]]</f>
        <v>EMP1110</v>
      </c>
      <c r="B114" s="10" t="str">
        <f>IF(Cleaned_Data4[[#This Row],[Names]]="","Un-known",Cleaned_Data4[[#This Row],[Names]])</f>
        <v>Chris Lee</v>
      </c>
      <c r="C114" s="10" t="str">
        <f>IF(Cleaned_Data4[[#This Row],[Department]]="","Un-known",Cleaned_Data4[[#This Row],[Department]])</f>
        <v>Sales</v>
      </c>
      <c r="D114" s="10" t="str">
        <f>IF(Cleaned_Data4[[#This Row],[Country]]="","Un-known",Cleaned_Data4[[#This Row],[Country]])</f>
        <v>India</v>
      </c>
      <c r="E114" s="35">
        <f>IF(Cleaned_Data4[[#This Row],[Salary]]="N/A","0",Cleaned_Data4[[#This Row],[Salary]])</f>
        <v>31293</v>
      </c>
      <c r="F114" s="36" t="str">
        <f>IF(Cleaned_Data4[[#This Row],[Date of Joining]]="","Un-known",Cleaned_Data4[[#This Row],[Date of Joining]])</f>
        <v>Un-known</v>
      </c>
      <c r="G114" s="39">
        <f>IF(Cleaned_Data4[[#This Row],[Performance Rating]]="","N/A",Cleaned_Data4[[#This Row],[Performance Rating]])</f>
        <v>2</v>
      </c>
      <c r="H114" s="10" t="str">
        <f>IF(Cleaned_Data4[[#This Row],[Gender]]="","Un-known",Cleaned_Data4[[#This Row],[Gender]])</f>
        <v>Female</v>
      </c>
      <c r="I114" s="10" t="str">
        <f>IF(Cleaned_Data4[[#This Row],[Email]]="","invalid_email",Cleaned_Data4[[#This Row],[Email]])</f>
        <v>user44@example.com</v>
      </c>
    </row>
    <row r="115" spans="1:9" x14ac:dyDescent="0.25">
      <c r="A115" s="10" t="str">
        <f>Cleaned_Data4[[#This Row],[Employee ID]]</f>
        <v>EMP1111</v>
      </c>
      <c r="B115" s="10" t="str">
        <f>IF(Cleaned_Data4[[#This Row],[Names]]="","Un-known",Cleaned_Data4[[#This Row],[Names]])</f>
        <v>Chris Lee</v>
      </c>
      <c r="C115" s="10" t="str">
        <f>IF(Cleaned_Data4[[#This Row],[Department]]="","Un-known",Cleaned_Data4[[#This Row],[Department]])</f>
        <v>IT</v>
      </c>
      <c r="D115" s="10" t="str">
        <f>IF(Cleaned_Data4[[#This Row],[Country]]="","Un-known",Cleaned_Data4[[#This Row],[Country]])</f>
        <v>USA</v>
      </c>
      <c r="E115" s="35">
        <f>IF(Cleaned_Data4[[#This Row],[Salary]]="N/A","0",Cleaned_Data4[[#This Row],[Salary]])</f>
        <v>34306</v>
      </c>
      <c r="F115" s="36">
        <f>IF(Cleaned_Data4[[#This Row],[Date of Joining]]="","Un-known",Cleaned_Data4[[#This Row],[Date of Joining]])</f>
        <v>42785</v>
      </c>
      <c r="G115" s="39">
        <f>IF(Cleaned_Data4[[#This Row],[Performance Rating]]="","N/A",Cleaned_Data4[[#This Row],[Performance Rating]])</f>
        <v>5</v>
      </c>
      <c r="H115" s="10" t="str">
        <f>IF(Cleaned_Data4[[#This Row],[Gender]]="","Un-known",Cleaned_Data4[[#This Row],[Gender]])</f>
        <v>Female</v>
      </c>
      <c r="I115" s="10" t="str">
        <f>IF(Cleaned_Data4[[#This Row],[Email]]="","invalid_email",Cleaned_Data4[[#This Row],[Email]])</f>
        <v>user192@example.com</v>
      </c>
    </row>
    <row r="116" spans="1:9" x14ac:dyDescent="0.25">
      <c r="A116" s="10" t="str">
        <f>Cleaned_Data4[[#This Row],[Employee ID]]</f>
        <v>EMP1112</v>
      </c>
      <c r="B116" s="10" t="str">
        <f>IF(Cleaned_Data4[[#This Row],[Names]]="","Un-known",Cleaned_Data4[[#This Row],[Names]])</f>
        <v>Eve Adams</v>
      </c>
      <c r="C116" s="10" t="str">
        <f>IF(Cleaned_Data4[[#This Row],[Department]]="","Un-known",Cleaned_Data4[[#This Row],[Department]])</f>
        <v>Finance</v>
      </c>
      <c r="D116" s="10" t="str">
        <f>IF(Cleaned_Data4[[#This Row],[Country]]="","Un-known",Cleaned_Data4[[#This Row],[Country]])</f>
        <v>India</v>
      </c>
      <c r="E116" s="35">
        <f>IF(Cleaned_Data4[[#This Row],[Salary]]="N/A","0",Cleaned_Data4[[#This Row],[Salary]])</f>
        <v>78330</v>
      </c>
      <c r="F116" s="36">
        <f>IF(Cleaned_Data4[[#This Row],[Date of Joining]]="","Un-known",Cleaned_Data4[[#This Row],[Date of Joining]])</f>
        <v>42792</v>
      </c>
      <c r="G116" s="39" t="str">
        <f>IF(Cleaned_Data4[[#This Row],[Performance Rating]]="","N/A",Cleaned_Data4[[#This Row],[Performance Rating]])</f>
        <v>N/A</v>
      </c>
      <c r="H116" s="10" t="str">
        <f>IF(Cleaned_Data4[[#This Row],[Gender]]="","Un-known",Cleaned_Data4[[#This Row],[Gender]])</f>
        <v>Other</v>
      </c>
      <c r="I116" s="10" t="str">
        <f>IF(Cleaned_Data4[[#This Row],[Email]]="","invalid_email",Cleaned_Data4[[#This Row],[Email]])</f>
        <v>user76@example.com</v>
      </c>
    </row>
    <row r="117" spans="1:9" x14ac:dyDescent="0.25">
      <c r="A117" s="10" t="str">
        <f>Cleaned_Data4[[#This Row],[Employee ID]]</f>
        <v>EMP1113</v>
      </c>
      <c r="B117" s="10" t="str">
        <f>IF(Cleaned_Data4[[#This Row],[Names]]="","Un-known",Cleaned_Data4[[#This Row],[Names]])</f>
        <v>Alice Brown</v>
      </c>
      <c r="C117" s="10" t="str">
        <f>IF(Cleaned_Data4[[#This Row],[Department]]="","Un-known",Cleaned_Data4[[#This Row],[Department]])</f>
        <v>IT</v>
      </c>
      <c r="D117" s="10" t="str">
        <f>IF(Cleaned_Data4[[#This Row],[Country]]="","Un-known",Cleaned_Data4[[#This Row],[Country]])</f>
        <v>USA</v>
      </c>
      <c r="E117" s="35">
        <f>IF(Cleaned_Data4[[#This Row],[Salary]]="N/A","0",Cleaned_Data4[[#This Row],[Salary]])</f>
        <v>47653</v>
      </c>
      <c r="F117" s="36">
        <f>IF(Cleaned_Data4[[#This Row],[Date of Joining]]="","Un-known",Cleaned_Data4[[#This Row],[Date of Joining]])</f>
        <v>42799</v>
      </c>
      <c r="G117" s="39">
        <f>IF(Cleaned_Data4[[#This Row],[Performance Rating]]="","N/A",Cleaned_Data4[[#This Row],[Performance Rating]])</f>
        <v>1</v>
      </c>
      <c r="H117" s="10" t="str">
        <f>IF(Cleaned_Data4[[#This Row],[Gender]]="","Un-known",Cleaned_Data4[[#This Row],[Gender]])</f>
        <v>Male</v>
      </c>
      <c r="I117" s="10" t="str">
        <f>IF(Cleaned_Data4[[#This Row],[Email]]="","invalid_email",Cleaned_Data4[[#This Row],[Email]])</f>
        <v>user82@example.com</v>
      </c>
    </row>
    <row r="118" spans="1:9" x14ac:dyDescent="0.25">
      <c r="A118" s="10" t="str">
        <f>Cleaned_Data4[[#This Row],[Employee ID]]</f>
        <v>EMP1114</v>
      </c>
      <c r="B118" s="10" t="str">
        <f>IF(Cleaned_Data4[[#This Row],[Names]]="","Un-known",Cleaned_Data4[[#This Row],[Names]])</f>
        <v>Eve Adams</v>
      </c>
      <c r="C118" s="10" t="str">
        <f>IF(Cleaned_Data4[[#This Row],[Department]]="","Un-known",Cleaned_Data4[[#This Row],[Department]])</f>
        <v>Marketing</v>
      </c>
      <c r="D118" s="10" t="str">
        <f>IF(Cleaned_Data4[[#This Row],[Country]]="","Un-known",Cleaned_Data4[[#This Row],[Country]])</f>
        <v>UK</v>
      </c>
      <c r="E118" s="35">
        <f>IF(Cleaned_Data4[[#This Row],[Salary]]="N/A","0",Cleaned_Data4[[#This Row],[Salary]])</f>
        <v>44627</v>
      </c>
      <c r="F118" s="36">
        <f>IF(Cleaned_Data4[[#This Row],[Date of Joining]]="","Un-known",Cleaned_Data4[[#This Row],[Date of Joining]])</f>
        <v>42806</v>
      </c>
      <c r="G118" s="39">
        <f>IF(Cleaned_Data4[[#This Row],[Performance Rating]]="","N/A",Cleaned_Data4[[#This Row],[Performance Rating]])</f>
        <v>4</v>
      </c>
      <c r="H118" s="10" t="str">
        <f>IF(Cleaned_Data4[[#This Row],[Gender]]="","Un-known",Cleaned_Data4[[#This Row],[Gender]])</f>
        <v>Un-known</v>
      </c>
      <c r="I118" s="10" t="str">
        <f>IF(Cleaned_Data4[[#This Row],[Email]]="","invalid_email",Cleaned_Data4[[#This Row],[Email]])</f>
        <v>user97@example.com</v>
      </c>
    </row>
    <row r="119" spans="1:9" x14ac:dyDescent="0.25">
      <c r="A119" s="10" t="str">
        <f>Cleaned_Data4[[#This Row],[Employee ID]]</f>
        <v>EMP1115</v>
      </c>
      <c r="B119" s="10" t="str">
        <f>IF(Cleaned_Data4[[#This Row],[Names]]="","Un-known",Cleaned_Data4[[#This Row],[Names]])</f>
        <v>Bob Johnson</v>
      </c>
      <c r="C119" s="10" t="str">
        <f>IF(Cleaned_Data4[[#This Row],[Department]]="","Un-known",Cleaned_Data4[[#This Row],[Department]])</f>
        <v>HR</v>
      </c>
      <c r="D119" s="10" t="str">
        <f>IF(Cleaned_Data4[[#This Row],[Country]]="","Un-known",Cleaned_Data4[[#This Row],[Country]])</f>
        <v>Germany</v>
      </c>
      <c r="E119" s="35">
        <f>IF(Cleaned_Data4[[#This Row],[Salary]]="N/A","0",Cleaned_Data4[[#This Row],[Salary]])</f>
        <v>92343</v>
      </c>
      <c r="F119" s="36">
        <f>IF(Cleaned_Data4[[#This Row],[Date of Joining]]="","Un-known",Cleaned_Data4[[#This Row],[Date of Joining]])</f>
        <v>42813</v>
      </c>
      <c r="G119" s="39">
        <f>IF(Cleaned_Data4[[#This Row],[Performance Rating]]="","N/A",Cleaned_Data4[[#This Row],[Performance Rating]])</f>
        <v>4</v>
      </c>
      <c r="H119" s="10" t="str">
        <f>IF(Cleaned_Data4[[#This Row],[Gender]]="","Un-known",Cleaned_Data4[[#This Row],[Gender]])</f>
        <v>Female</v>
      </c>
      <c r="I119" s="10" t="str">
        <f>IF(Cleaned_Data4[[#This Row],[Email]]="","invalid_email",Cleaned_Data4[[#This Row],[Email]])</f>
        <v>user149@example.com</v>
      </c>
    </row>
    <row r="120" spans="1:9" x14ac:dyDescent="0.25">
      <c r="A120" s="10" t="str">
        <f>Cleaned_Data4[[#This Row],[Employee ID]]</f>
        <v>EMP1116</v>
      </c>
      <c r="B120" s="10" t="str">
        <f>IF(Cleaned_Data4[[#This Row],[Names]]="","Un-known",Cleaned_Data4[[#This Row],[Names]])</f>
        <v>Bob Johnson</v>
      </c>
      <c r="C120" s="10" t="str">
        <f>IF(Cleaned_Data4[[#This Row],[Department]]="","Un-known",Cleaned_Data4[[#This Row],[Department]])</f>
        <v>Marketing</v>
      </c>
      <c r="D120" s="10" t="str">
        <f>IF(Cleaned_Data4[[#This Row],[Country]]="","Un-known",Cleaned_Data4[[#This Row],[Country]])</f>
        <v>Australia</v>
      </c>
      <c r="E120" s="35">
        <f>IF(Cleaned_Data4[[#This Row],[Salary]]="N/A","0",Cleaned_Data4[[#This Row],[Salary]])</f>
        <v>38837</v>
      </c>
      <c r="F120" s="36">
        <f>IF(Cleaned_Data4[[#This Row],[Date of Joining]]="","Un-known",Cleaned_Data4[[#This Row],[Date of Joining]])</f>
        <v>42820</v>
      </c>
      <c r="G120" s="39">
        <f>IF(Cleaned_Data4[[#This Row],[Performance Rating]]="","N/A",Cleaned_Data4[[#This Row],[Performance Rating]])</f>
        <v>5</v>
      </c>
      <c r="H120" s="10" t="str">
        <f>IF(Cleaned_Data4[[#This Row],[Gender]]="","Un-known",Cleaned_Data4[[#This Row],[Gender]])</f>
        <v>Female</v>
      </c>
      <c r="I120" s="10" t="str">
        <f>IF(Cleaned_Data4[[#This Row],[Email]]="","invalid_email",Cleaned_Data4[[#This Row],[Email]])</f>
        <v>user192@example.com</v>
      </c>
    </row>
    <row r="121" spans="1:9" x14ac:dyDescent="0.25">
      <c r="A121" s="10" t="str">
        <f>Cleaned_Data4[[#This Row],[Employee ID]]</f>
        <v>EMP1117</v>
      </c>
      <c r="B121" s="10" t="str">
        <f>IF(Cleaned_Data4[[#This Row],[Names]]="","Un-known",Cleaned_Data4[[#This Row],[Names]])</f>
        <v>Bob Johnson</v>
      </c>
      <c r="C121" s="10" t="str">
        <f>IF(Cleaned_Data4[[#This Row],[Department]]="","Un-known",Cleaned_Data4[[#This Row],[Department]])</f>
        <v>Marketing</v>
      </c>
      <c r="D121" s="10" t="str">
        <f>IF(Cleaned_Data4[[#This Row],[Country]]="","Un-known",Cleaned_Data4[[#This Row],[Country]])</f>
        <v>Un-known</v>
      </c>
      <c r="E121" s="35">
        <f>IF(Cleaned_Data4[[#This Row],[Salary]]="N/A","0",Cleaned_Data4[[#This Row],[Salary]])</f>
        <v>73483</v>
      </c>
      <c r="F121" s="36">
        <f>IF(Cleaned_Data4[[#This Row],[Date of Joining]]="","Un-known",Cleaned_Data4[[#This Row],[Date of Joining]])</f>
        <v>42827</v>
      </c>
      <c r="G121" s="39">
        <f>IF(Cleaned_Data4[[#This Row],[Performance Rating]]="","N/A",Cleaned_Data4[[#This Row],[Performance Rating]])</f>
        <v>1</v>
      </c>
      <c r="H121" s="10" t="str">
        <f>IF(Cleaned_Data4[[#This Row],[Gender]]="","Un-known",Cleaned_Data4[[#This Row],[Gender]])</f>
        <v>Un-known</v>
      </c>
      <c r="I121" s="10" t="str">
        <f>IF(Cleaned_Data4[[#This Row],[Email]]="","invalid_email",Cleaned_Data4[[#This Row],[Email]])</f>
        <v>user137@example.com</v>
      </c>
    </row>
    <row r="122" spans="1:9" x14ac:dyDescent="0.25">
      <c r="A122" s="10" t="str">
        <f>Cleaned_Data4[[#This Row],[Employee ID]]</f>
        <v>EMP1118</v>
      </c>
      <c r="B122" s="10" t="str">
        <f>IF(Cleaned_Data4[[#This Row],[Names]]="","Un-known",Cleaned_Data4[[#This Row],[Names]])</f>
        <v>Chris Lee</v>
      </c>
      <c r="C122" s="10" t="str">
        <f>IF(Cleaned_Data4[[#This Row],[Department]]="","Un-known",Cleaned_Data4[[#This Row],[Department]])</f>
        <v>Sales</v>
      </c>
      <c r="D122" s="10" t="str">
        <f>IF(Cleaned_Data4[[#This Row],[Country]]="","Un-known",Cleaned_Data4[[#This Row],[Country]])</f>
        <v>India</v>
      </c>
      <c r="E122" s="35">
        <f>IF(Cleaned_Data4[[#This Row],[Salary]]="N/A","0",Cleaned_Data4[[#This Row],[Salary]])</f>
        <v>95032</v>
      </c>
      <c r="F122" s="36">
        <f>IF(Cleaned_Data4[[#This Row],[Date of Joining]]="","Un-known",Cleaned_Data4[[#This Row],[Date of Joining]])</f>
        <v>42834</v>
      </c>
      <c r="G122" s="39">
        <f>IF(Cleaned_Data4[[#This Row],[Performance Rating]]="","N/A",Cleaned_Data4[[#This Row],[Performance Rating]])</f>
        <v>3</v>
      </c>
      <c r="H122" s="10" t="str">
        <f>IF(Cleaned_Data4[[#This Row],[Gender]]="","Un-known",Cleaned_Data4[[#This Row],[Gender]])</f>
        <v>Un-known</v>
      </c>
      <c r="I122" s="10" t="str">
        <f>IF(Cleaned_Data4[[#This Row],[Email]]="","invalid_email",Cleaned_Data4[[#This Row],[Email]])</f>
        <v>user23@example.com</v>
      </c>
    </row>
    <row r="123" spans="1:9" x14ac:dyDescent="0.25">
      <c r="A123" s="10" t="str">
        <f>Cleaned_Data4[[#This Row],[Employee ID]]</f>
        <v>EMP1119</v>
      </c>
      <c r="B123" s="10" t="str">
        <f>IF(Cleaned_Data4[[#This Row],[Names]]="","Un-known",Cleaned_Data4[[#This Row],[Names]])</f>
        <v>Eve Adams</v>
      </c>
      <c r="C123" s="10" t="str">
        <f>IF(Cleaned_Data4[[#This Row],[Department]]="","Un-known",Cleaned_Data4[[#This Row],[Department]])</f>
        <v>Sales</v>
      </c>
      <c r="D123" s="10" t="str">
        <f>IF(Cleaned_Data4[[#This Row],[Country]]="","Un-known",Cleaned_Data4[[#This Row],[Country]])</f>
        <v>Australia</v>
      </c>
      <c r="E123" s="35">
        <f>IF(Cleaned_Data4[[#This Row],[Salary]]="N/A","0",Cleaned_Data4[[#This Row],[Salary]])</f>
        <v>44358</v>
      </c>
      <c r="F123" s="36">
        <f>IF(Cleaned_Data4[[#This Row],[Date of Joining]]="","Un-known",Cleaned_Data4[[#This Row],[Date of Joining]])</f>
        <v>42841</v>
      </c>
      <c r="G123" s="39" t="str">
        <f>IF(Cleaned_Data4[[#This Row],[Performance Rating]]="","N/A",Cleaned_Data4[[#This Row],[Performance Rating]])</f>
        <v>N/A</v>
      </c>
      <c r="H123" s="10" t="str">
        <f>IF(Cleaned_Data4[[#This Row],[Gender]]="","Un-known",Cleaned_Data4[[#This Row],[Gender]])</f>
        <v>Female</v>
      </c>
      <c r="I123" s="10" t="str">
        <f>IF(Cleaned_Data4[[#This Row],[Email]]="","invalid_email",Cleaned_Data4[[#This Row],[Email]])</f>
        <v>user200@example.com</v>
      </c>
    </row>
    <row r="124" spans="1:9" x14ac:dyDescent="0.25">
      <c r="A124" s="10" t="str">
        <f>Cleaned_Data4[[#This Row],[Employee ID]]</f>
        <v>EMP1120</v>
      </c>
      <c r="B124" s="10" t="str">
        <f>IF(Cleaned_Data4[[#This Row],[Names]]="","Un-known",Cleaned_Data4[[#This Row],[Names]])</f>
        <v>Un-known</v>
      </c>
      <c r="C124" s="10" t="str">
        <f>IF(Cleaned_Data4[[#This Row],[Department]]="","Un-known",Cleaned_Data4[[#This Row],[Department]])</f>
        <v>IT</v>
      </c>
      <c r="D124" s="10" t="str">
        <f>IF(Cleaned_Data4[[#This Row],[Country]]="","Un-known",Cleaned_Data4[[#This Row],[Country]])</f>
        <v>USA</v>
      </c>
      <c r="E124" s="35" t="str">
        <f>IF(Cleaned_Data4[[#This Row],[Salary]]="N/A","0",Cleaned_Data4[[#This Row],[Salary]])</f>
        <v>0</v>
      </c>
      <c r="F124" s="36" t="str">
        <f>IF(Cleaned_Data4[[#This Row],[Date of Joining]]="","Un-known",Cleaned_Data4[[#This Row],[Date of Joining]])</f>
        <v>Un-known</v>
      </c>
      <c r="G124" s="39">
        <f>IF(Cleaned_Data4[[#This Row],[Performance Rating]]="","N/A",Cleaned_Data4[[#This Row],[Performance Rating]])</f>
        <v>5</v>
      </c>
      <c r="H124" s="10" t="str">
        <f>IF(Cleaned_Data4[[#This Row],[Gender]]="","Un-known",Cleaned_Data4[[#This Row],[Gender]])</f>
        <v>Unknown</v>
      </c>
      <c r="I124" s="10" t="str">
        <f>IF(Cleaned_Data4[[#This Row],[Email]]="","invalid_email",Cleaned_Data4[[#This Row],[Email]])</f>
        <v>user101@example.com</v>
      </c>
    </row>
    <row r="125" spans="1:9" x14ac:dyDescent="0.25">
      <c r="A125" s="10" t="str">
        <f>Cleaned_Data4[[#This Row],[Employee ID]]</f>
        <v>EMP1121</v>
      </c>
      <c r="B125" s="10" t="str">
        <f>IF(Cleaned_Data4[[#This Row],[Names]]="","Un-known",Cleaned_Data4[[#This Row],[Names]])</f>
        <v>Chris Lee</v>
      </c>
      <c r="C125" s="10" t="str">
        <f>IF(Cleaned_Data4[[#This Row],[Department]]="","Un-known",Cleaned_Data4[[#This Row],[Department]])</f>
        <v>Sales</v>
      </c>
      <c r="D125" s="10" t="str">
        <f>IF(Cleaned_Data4[[#This Row],[Country]]="","Un-known",Cleaned_Data4[[#This Row],[Country]])</f>
        <v>USA</v>
      </c>
      <c r="E125" s="35">
        <f>IF(Cleaned_Data4[[#This Row],[Salary]]="N/A","0",Cleaned_Data4[[#This Row],[Salary]])</f>
        <v>45676</v>
      </c>
      <c r="F125" s="36">
        <f>IF(Cleaned_Data4[[#This Row],[Date of Joining]]="","Un-known",Cleaned_Data4[[#This Row],[Date of Joining]])</f>
        <v>42855</v>
      </c>
      <c r="G125" s="39">
        <f>IF(Cleaned_Data4[[#This Row],[Performance Rating]]="","N/A",Cleaned_Data4[[#This Row],[Performance Rating]])</f>
        <v>2</v>
      </c>
      <c r="H125" s="10" t="str">
        <f>IF(Cleaned_Data4[[#This Row],[Gender]]="","Un-known",Cleaned_Data4[[#This Row],[Gender]])</f>
        <v>Un-known</v>
      </c>
      <c r="I125" s="10" t="str">
        <f>IF(Cleaned_Data4[[#This Row],[Email]]="","invalid_email",Cleaned_Data4[[#This Row],[Email]])</f>
        <v>user132@example.com</v>
      </c>
    </row>
    <row r="126" spans="1:9" x14ac:dyDescent="0.25">
      <c r="A126" s="10" t="str">
        <f>Cleaned_Data4[[#This Row],[Employee ID]]</f>
        <v>EMP1122</v>
      </c>
      <c r="B126" s="10" t="str">
        <f>IF(Cleaned_Data4[[#This Row],[Names]]="","Un-known",Cleaned_Data4[[#This Row],[Names]])</f>
        <v>Bob Johnson</v>
      </c>
      <c r="C126" s="10" t="str">
        <f>IF(Cleaned_Data4[[#This Row],[Department]]="","Un-known",Cleaned_Data4[[#This Row],[Department]])</f>
        <v>Sales</v>
      </c>
      <c r="D126" s="10" t="str">
        <f>IF(Cleaned_Data4[[#This Row],[Country]]="","Un-known",Cleaned_Data4[[#This Row],[Country]])</f>
        <v>Germany</v>
      </c>
      <c r="E126" s="35">
        <f>IF(Cleaned_Data4[[#This Row],[Salary]]="N/A","0",Cleaned_Data4[[#This Row],[Salary]])</f>
        <v>52036</v>
      </c>
      <c r="F126" s="36">
        <f>IF(Cleaned_Data4[[#This Row],[Date of Joining]]="","Un-known",Cleaned_Data4[[#This Row],[Date of Joining]])</f>
        <v>42862</v>
      </c>
      <c r="G126" s="39">
        <f>IF(Cleaned_Data4[[#This Row],[Performance Rating]]="","N/A",Cleaned_Data4[[#This Row],[Performance Rating]])</f>
        <v>3</v>
      </c>
      <c r="H126" s="10" t="str">
        <f>IF(Cleaned_Data4[[#This Row],[Gender]]="","Un-known",Cleaned_Data4[[#This Row],[Gender]])</f>
        <v>Male</v>
      </c>
      <c r="I126" s="10" t="str">
        <f>IF(Cleaned_Data4[[#This Row],[Email]]="","invalid_email",Cleaned_Data4[[#This Row],[Email]])</f>
        <v>user171@example.com</v>
      </c>
    </row>
    <row r="127" spans="1:9" x14ac:dyDescent="0.25">
      <c r="A127" s="10" t="str">
        <f>Cleaned_Data4[[#This Row],[Employee ID]]</f>
        <v>EMP1123</v>
      </c>
      <c r="B127" s="10" t="str">
        <f>IF(Cleaned_Data4[[#This Row],[Names]]="","Un-known",Cleaned_Data4[[#This Row],[Names]])</f>
        <v>Jane Smith</v>
      </c>
      <c r="C127" s="10" t="str">
        <f>IF(Cleaned_Data4[[#This Row],[Department]]="","Un-known",Cleaned_Data4[[#This Row],[Department]])</f>
        <v>Un-known</v>
      </c>
      <c r="D127" s="10" t="str">
        <f>IF(Cleaned_Data4[[#This Row],[Country]]="","Un-known",Cleaned_Data4[[#This Row],[Country]])</f>
        <v>Germany</v>
      </c>
      <c r="E127" s="35">
        <f>IF(Cleaned_Data4[[#This Row],[Salary]]="N/A","0",Cleaned_Data4[[#This Row],[Salary]])</f>
        <v>30357</v>
      </c>
      <c r="F127" s="36">
        <f>IF(Cleaned_Data4[[#This Row],[Date of Joining]]="","Un-known",Cleaned_Data4[[#This Row],[Date of Joining]])</f>
        <v>42869</v>
      </c>
      <c r="G127" s="39">
        <f>IF(Cleaned_Data4[[#This Row],[Performance Rating]]="","N/A",Cleaned_Data4[[#This Row],[Performance Rating]])</f>
        <v>5</v>
      </c>
      <c r="H127" s="10" t="str">
        <f>IF(Cleaned_Data4[[#This Row],[Gender]]="","Un-known",Cleaned_Data4[[#This Row],[Gender]])</f>
        <v>Male</v>
      </c>
      <c r="I127" s="10" t="str">
        <f>IF(Cleaned_Data4[[#This Row],[Email]]="","invalid_email",Cleaned_Data4[[#This Row],[Email]])</f>
        <v>user145@example.com</v>
      </c>
    </row>
    <row r="128" spans="1:9" x14ac:dyDescent="0.25">
      <c r="A128" s="10" t="str">
        <f>Cleaned_Data4[[#This Row],[Employee ID]]</f>
        <v>EMP1124</v>
      </c>
      <c r="B128" s="10" t="str">
        <f>IF(Cleaned_Data4[[#This Row],[Names]]="","Un-known",Cleaned_Data4[[#This Row],[Names]])</f>
        <v>John Doe</v>
      </c>
      <c r="C128" s="10" t="str">
        <f>IF(Cleaned_Data4[[#This Row],[Department]]="","Un-known",Cleaned_Data4[[#This Row],[Department]])</f>
        <v>IT</v>
      </c>
      <c r="D128" s="10" t="str">
        <f>IF(Cleaned_Data4[[#This Row],[Country]]="","Un-known",Cleaned_Data4[[#This Row],[Country]])</f>
        <v>Un-known</v>
      </c>
      <c r="E128" s="35">
        <f>IF(Cleaned_Data4[[#This Row],[Salary]]="N/A","0",Cleaned_Data4[[#This Row],[Salary]])</f>
        <v>60034</v>
      </c>
      <c r="F128" s="36">
        <f>IF(Cleaned_Data4[[#This Row],[Date of Joining]]="","Un-known",Cleaned_Data4[[#This Row],[Date of Joining]])</f>
        <v>42876</v>
      </c>
      <c r="G128" s="39">
        <f>IF(Cleaned_Data4[[#This Row],[Performance Rating]]="","N/A",Cleaned_Data4[[#This Row],[Performance Rating]])</f>
        <v>1</v>
      </c>
      <c r="H128" s="10" t="str">
        <f>IF(Cleaned_Data4[[#This Row],[Gender]]="","Un-known",Cleaned_Data4[[#This Row],[Gender]])</f>
        <v>Female</v>
      </c>
      <c r="I128" s="10" t="str">
        <f>IF(Cleaned_Data4[[#This Row],[Email]]="","invalid_email",Cleaned_Data4[[#This Row],[Email]])</f>
        <v>user75@example.com</v>
      </c>
    </row>
    <row r="129" spans="1:9" x14ac:dyDescent="0.25">
      <c r="A129" s="10" t="str">
        <f>Cleaned_Data4[[#This Row],[Employee ID]]</f>
        <v>EMP1125</v>
      </c>
      <c r="B129" s="10" t="str">
        <f>IF(Cleaned_Data4[[#This Row],[Names]]="","Un-known",Cleaned_Data4[[#This Row],[Names]])</f>
        <v>John Doe</v>
      </c>
      <c r="C129" s="10" t="str">
        <f>IF(Cleaned_Data4[[#This Row],[Department]]="","Un-known",Cleaned_Data4[[#This Row],[Department]])</f>
        <v>Finance</v>
      </c>
      <c r="D129" s="10" t="str">
        <f>IF(Cleaned_Data4[[#This Row],[Country]]="","Un-known",Cleaned_Data4[[#This Row],[Country]])</f>
        <v>Un-known</v>
      </c>
      <c r="E129" s="35">
        <f>IF(Cleaned_Data4[[#This Row],[Salary]]="N/A","0",Cleaned_Data4[[#This Row],[Salary]])</f>
        <v>90019</v>
      </c>
      <c r="F129" s="36">
        <f>IF(Cleaned_Data4[[#This Row],[Date of Joining]]="","Un-known",Cleaned_Data4[[#This Row],[Date of Joining]])</f>
        <v>42883</v>
      </c>
      <c r="G129" s="39">
        <f>IF(Cleaned_Data4[[#This Row],[Performance Rating]]="","N/A",Cleaned_Data4[[#This Row],[Performance Rating]])</f>
        <v>5</v>
      </c>
      <c r="H129" s="10" t="str">
        <f>IF(Cleaned_Data4[[#This Row],[Gender]]="","Un-known",Cleaned_Data4[[#This Row],[Gender]])</f>
        <v>Un-known</v>
      </c>
      <c r="I129" s="10" t="str">
        <f>IF(Cleaned_Data4[[#This Row],[Email]]="","invalid_email",Cleaned_Data4[[#This Row],[Email]])</f>
        <v>user52@example.com</v>
      </c>
    </row>
    <row r="130" spans="1:9" x14ac:dyDescent="0.25">
      <c r="A130" s="10" t="str">
        <f>Cleaned_Data4[[#This Row],[Employee ID]]</f>
        <v>EMP1126</v>
      </c>
      <c r="B130" s="10" t="str">
        <f>IF(Cleaned_Data4[[#This Row],[Names]]="","Un-known",Cleaned_Data4[[#This Row],[Names]])</f>
        <v>Bob Johnson</v>
      </c>
      <c r="C130" s="10" t="str">
        <f>IF(Cleaned_Data4[[#This Row],[Department]]="","Un-known",Cleaned_Data4[[#This Row],[Department]])</f>
        <v>Un-known</v>
      </c>
      <c r="D130" s="10" t="str">
        <f>IF(Cleaned_Data4[[#This Row],[Country]]="","Un-known",Cleaned_Data4[[#This Row],[Country]])</f>
        <v>Germany</v>
      </c>
      <c r="E130" s="35">
        <f>IF(Cleaned_Data4[[#This Row],[Salary]]="N/A","0",Cleaned_Data4[[#This Row],[Salary]])</f>
        <v>71494</v>
      </c>
      <c r="F130" s="36">
        <f>IF(Cleaned_Data4[[#This Row],[Date of Joining]]="","Un-known",Cleaned_Data4[[#This Row],[Date of Joining]])</f>
        <v>42890</v>
      </c>
      <c r="G130" s="39">
        <f>IF(Cleaned_Data4[[#This Row],[Performance Rating]]="","N/A",Cleaned_Data4[[#This Row],[Performance Rating]])</f>
        <v>3</v>
      </c>
      <c r="H130" s="10" t="str">
        <f>IF(Cleaned_Data4[[#This Row],[Gender]]="","Un-known",Cleaned_Data4[[#This Row],[Gender]])</f>
        <v>Male</v>
      </c>
      <c r="I130" s="10" t="str">
        <f>IF(Cleaned_Data4[[#This Row],[Email]]="","invalid_email",Cleaned_Data4[[#This Row],[Email]])</f>
        <v>user100@example.com</v>
      </c>
    </row>
    <row r="131" spans="1:9" x14ac:dyDescent="0.25">
      <c r="A131" s="10" t="str">
        <f>Cleaned_Data4[[#This Row],[Employee ID]]</f>
        <v>EMP1127</v>
      </c>
      <c r="B131" s="10" t="str">
        <f>IF(Cleaned_Data4[[#This Row],[Names]]="","Un-known",Cleaned_Data4[[#This Row],[Names]])</f>
        <v>John Doe</v>
      </c>
      <c r="C131" s="10" t="str">
        <f>IF(Cleaned_Data4[[#This Row],[Department]]="","Un-known",Cleaned_Data4[[#This Row],[Department]])</f>
        <v>Finance</v>
      </c>
      <c r="D131" s="10" t="str">
        <f>IF(Cleaned_Data4[[#This Row],[Country]]="","Un-known",Cleaned_Data4[[#This Row],[Country]])</f>
        <v>USA</v>
      </c>
      <c r="E131" s="35">
        <f>IF(Cleaned_Data4[[#This Row],[Salary]]="N/A","0",Cleaned_Data4[[#This Row],[Salary]])</f>
        <v>91953</v>
      </c>
      <c r="F131" s="36">
        <f>IF(Cleaned_Data4[[#This Row],[Date of Joining]]="","Un-known",Cleaned_Data4[[#This Row],[Date of Joining]])</f>
        <v>42897</v>
      </c>
      <c r="G131" s="39">
        <f>IF(Cleaned_Data4[[#This Row],[Performance Rating]]="","N/A",Cleaned_Data4[[#This Row],[Performance Rating]])</f>
        <v>2</v>
      </c>
      <c r="H131" s="10" t="str">
        <f>IF(Cleaned_Data4[[#This Row],[Gender]]="","Un-known",Cleaned_Data4[[#This Row],[Gender]])</f>
        <v>Male</v>
      </c>
      <c r="I131" s="10" t="str">
        <f>IF(Cleaned_Data4[[#This Row],[Email]]="","invalid_email",Cleaned_Data4[[#This Row],[Email]])</f>
        <v>user83@example.com</v>
      </c>
    </row>
    <row r="132" spans="1:9" x14ac:dyDescent="0.25">
      <c r="A132" s="10" t="str">
        <f>Cleaned_Data4[[#This Row],[Employee ID]]</f>
        <v>EMP1128</v>
      </c>
      <c r="B132" s="10" t="str">
        <f>IF(Cleaned_Data4[[#This Row],[Names]]="","Un-known",Cleaned_Data4[[#This Row],[Names]])</f>
        <v>Chris Lee</v>
      </c>
      <c r="C132" s="10" t="str">
        <f>IF(Cleaned_Data4[[#This Row],[Department]]="","Un-known",Cleaned_Data4[[#This Row],[Department]])</f>
        <v>Sales</v>
      </c>
      <c r="D132" s="10" t="str">
        <f>IF(Cleaned_Data4[[#This Row],[Country]]="","Un-known",Cleaned_Data4[[#This Row],[Country]])</f>
        <v>USA</v>
      </c>
      <c r="E132" s="35">
        <f>IF(Cleaned_Data4[[#This Row],[Salary]]="N/A","0",Cleaned_Data4[[#This Row],[Salary]])</f>
        <v>30402</v>
      </c>
      <c r="F132" s="36">
        <f>IF(Cleaned_Data4[[#This Row],[Date of Joining]]="","Un-known",Cleaned_Data4[[#This Row],[Date of Joining]])</f>
        <v>42904</v>
      </c>
      <c r="G132" s="39">
        <f>IF(Cleaned_Data4[[#This Row],[Performance Rating]]="","N/A",Cleaned_Data4[[#This Row],[Performance Rating]])</f>
        <v>1</v>
      </c>
      <c r="H132" s="10" t="str">
        <f>IF(Cleaned_Data4[[#This Row],[Gender]]="","Un-known",Cleaned_Data4[[#This Row],[Gender]])</f>
        <v>Un-known</v>
      </c>
      <c r="I132" s="10" t="str">
        <f>IF(Cleaned_Data4[[#This Row],[Email]]="","invalid_email",Cleaned_Data4[[#This Row],[Email]])</f>
        <v>user167@example.com</v>
      </c>
    </row>
    <row r="133" spans="1:9" x14ac:dyDescent="0.25">
      <c r="A133" s="10" t="str">
        <f>Cleaned_Data4[[#This Row],[Employee ID]]</f>
        <v>EMP1129</v>
      </c>
      <c r="B133" s="10" t="str">
        <f>IF(Cleaned_Data4[[#This Row],[Names]]="","Un-known",Cleaned_Data4[[#This Row],[Names]])</f>
        <v>Bob Johnson</v>
      </c>
      <c r="C133" s="10" t="str">
        <f>IF(Cleaned_Data4[[#This Row],[Department]]="","Un-known",Cleaned_Data4[[#This Row],[Department]])</f>
        <v>Un-known</v>
      </c>
      <c r="D133" s="10" t="str">
        <f>IF(Cleaned_Data4[[#This Row],[Country]]="","Un-known",Cleaned_Data4[[#This Row],[Country]])</f>
        <v>UK</v>
      </c>
      <c r="E133" s="35">
        <f>IF(Cleaned_Data4[[#This Row],[Salary]]="N/A","0",Cleaned_Data4[[#This Row],[Salary]])</f>
        <v>62994</v>
      </c>
      <c r="F133" s="36">
        <f>IF(Cleaned_Data4[[#This Row],[Date of Joining]]="","Un-known",Cleaned_Data4[[#This Row],[Date of Joining]])</f>
        <v>42911</v>
      </c>
      <c r="G133" s="39" t="str">
        <f>IF(Cleaned_Data4[[#This Row],[Performance Rating]]="","N/A",Cleaned_Data4[[#This Row],[Performance Rating]])</f>
        <v>N/A</v>
      </c>
      <c r="H133" s="10" t="str">
        <f>IF(Cleaned_Data4[[#This Row],[Gender]]="","Un-known",Cleaned_Data4[[#This Row],[Gender]])</f>
        <v>Un-known</v>
      </c>
      <c r="I133" s="10" t="str">
        <f>IF(Cleaned_Data4[[#This Row],[Email]]="","invalid_email",Cleaned_Data4[[#This Row],[Email]])</f>
        <v>user175@example.com</v>
      </c>
    </row>
    <row r="134" spans="1:9" x14ac:dyDescent="0.25">
      <c r="A134" s="10" t="str">
        <f>Cleaned_Data4[[#This Row],[Employee ID]]</f>
        <v>EMP1130</v>
      </c>
      <c r="B134" s="10" t="str">
        <f>IF(Cleaned_Data4[[#This Row],[Names]]="","Un-known",Cleaned_Data4[[#This Row],[Names]])</f>
        <v>Alice Brown</v>
      </c>
      <c r="C134" s="10" t="str">
        <f>IF(Cleaned_Data4[[#This Row],[Department]]="","Un-known",Cleaned_Data4[[#This Row],[Department]])</f>
        <v>Sales</v>
      </c>
      <c r="D134" s="10" t="str">
        <f>IF(Cleaned_Data4[[#This Row],[Country]]="","Un-known",Cleaned_Data4[[#This Row],[Country]])</f>
        <v>India</v>
      </c>
      <c r="E134" s="35">
        <f>IF(Cleaned_Data4[[#This Row],[Salary]]="N/A","0",Cleaned_Data4[[#This Row],[Salary]])</f>
        <v>48289</v>
      </c>
      <c r="F134" s="36" t="str">
        <f>IF(Cleaned_Data4[[#This Row],[Date of Joining]]="","Un-known",Cleaned_Data4[[#This Row],[Date of Joining]])</f>
        <v>Un-known</v>
      </c>
      <c r="G134" s="39">
        <f>IF(Cleaned_Data4[[#This Row],[Performance Rating]]="","N/A",Cleaned_Data4[[#This Row],[Performance Rating]])</f>
        <v>3</v>
      </c>
      <c r="H134" s="10" t="str">
        <f>IF(Cleaned_Data4[[#This Row],[Gender]]="","Un-known",Cleaned_Data4[[#This Row],[Gender]])</f>
        <v>Male</v>
      </c>
      <c r="I134" s="10" t="str">
        <f>IF(Cleaned_Data4[[#This Row],[Email]]="","invalid_email",Cleaned_Data4[[#This Row],[Email]])</f>
        <v>user25@example.com</v>
      </c>
    </row>
    <row r="135" spans="1:9" x14ac:dyDescent="0.25">
      <c r="A135" s="10" t="str">
        <f>Cleaned_Data4[[#This Row],[Employee ID]]</f>
        <v>EMP1131</v>
      </c>
      <c r="B135" s="10" t="str">
        <f>IF(Cleaned_Data4[[#This Row],[Names]]="","Un-known",Cleaned_Data4[[#This Row],[Names]])</f>
        <v>Sam Wilson</v>
      </c>
      <c r="C135" s="10" t="str">
        <f>IF(Cleaned_Data4[[#This Row],[Department]]="","Un-known",Cleaned_Data4[[#This Row],[Department]])</f>
        <v>Marketing</v>
      </c>
      <c r="D135" s="10" t="str">
        <f>IF(Cleaned_Data4[[#This Row],[Country]]="","Un-known",Cleaned_Data4[[#This Row],[Country]])</f>
        <v>Germany</v>
      </c>
      <c r="E135" s="35">
        <f>IF(Cleaned_Data4[[#This Row],[Salary]]="N/A","0",Cleaned_Data4[[#This Row],[Salary]])</f>
        <v>34402</v>
      </c>
      <c r="F135" s="36">
        <f>IF(Cleaned_Data4[[#This Row],[Date of Joining]]="","Un-known",Cleaned_Data4[[#This Row],[Date of Joining]])</f>
        <v>42925</v>
      </c>
      <c r="G135" s="39">
        <f>IF(Cleaned_Data4[[#This Row],[Performance Rating]]="","N/A",Cleaned_Data4[[#This Row],[Performance Rating]])</f>
        <v>3</v>
      </c>
      <c r="H135" s="10" t="str">
        <f>IF(Cleaned_Data4[[#This Row],[Gender]]="","Un-known",Cleaned_Data4[[#This Row],[Gender]])</f>
        <v>Other</v>
      </c>
      <c r="I135" s="10" t="str">
        <f>IF(Cleaned_Data4[[#This Row],[Email]]="","invalid_email",Cleaned_Data4[[#This Row],[Email]])</f>
        <v>user42@example.com</v>
      </c>
    </row>
    <row r="136" spans="1:9" x14ac:dyDescent="0.25">
      <c r="A136" s="10" t="str">
        <f>Cleaned_Data4[[#This Row],[Employee ID]]</f>
        <v>EMP1132</v>
      </c>
      <c r="B136" s="10" t="str">
        <f>IF(Cleaned_Data4[[#This Row],[Names]]="","Un-known",Cleaned_Data4[[#This Row],[Names]])</f>
        <v>Eve Adams</v>
      </c>
      <c r="C136" s="10" t="str">
        <f>IF(Cleaned_Data4[[#This Row],[Department]]="","Un-known",Cleaned_Data4[[#This Row],[Department]])</f>
        <v>HR</v>
      </c>
      <c r="D136" s="10" t="str">
        <f>IF(Cleaned_Data4[[#This Row],[Country]]="","Un-known",Cleaned_Data4[[#This Row],[Country]])</f>
        <v>USA</v>
      </c>
      <c r="E136" s="35">
        <f>IF(Cleaned_Data4[[#This Row],[Salary]]="N/A","0",Cleaned_Data4[[#This Row],[Salary]])</f>
        <v>38678</v>
      </c>
      <c r="F136" s="36">
        <f>IF(Cleaned_Data4[[#This Row],[Date of Joining]]="","Un-known",Cleaned_Data4[[#This Row],[Date of Joining]])</f>
        <v>42932</v>
      </c>
      <c r="G136" s="39">
        <f>IF(Cleaned_Data4[[#This Row],[Performance Rating]]="","N/A",Cleaned_Data4[[#This Row],[Performance Rating]])</f>
        <v>3</v>
      </c>
      <c r="H136" s="10" t="str">
        <f>IF(Cleaned_Data4[[#This Row],[Gender]]="","Un-known",Cleaned_Data4[[#This Row],[Gender]])</f>
        <v>Other</v>
      </c>
      <c r="I136" s="10" t="str">
        <f>IF(Cleaned_Data4[[#This Row],[Email]]="","invalid_email",Cleaned_Data4[[#This Row],[Email]])</f>
        <v>user188@example.com</v>
      </c>
    </row>
    <row r="137" spans="1:9" x14ac:dyDescent="0.25">
      <c r="A137" s="10" t="str">
        <f>Cleaned_Data4[[#This Row],[Employee ID]]</f>
        <v>EMP1133</v>
      </c>
      <c r="B137" s="10" t="str">
        <f>IF(Cleaned_Data4[[#This Row],[Names]]="","Un-known",Cleaned_Data4[[#This Row],[Names]])</f>
        <v>Chris Lee</v>
      </c>
      <c r="C137" s="10" t="str">
        <f>IF(Cleaned_Data4[[#This Row],[Department]]="","Un-known",Cleaned_Data4[[#This Row],[Department]])</f>
        <v>HR</v>
      </c>
      <c r="D137" s="10" t="str">
        <f>IF(Cleaned_Data4[[#This Row],[Country]]="","Un-known",Cleaned_Data4[[#This Row],[Country]])</f>
        <v>Germany</v>
      </c>
      <c r="E137" s="35">
        <f>IF(Cleaned_Data4[[#This Row],[Salary]]="N/A","0",Cleaned_Data4[[#This Row],[Salary]])</f>
        <v>45758</v>
      </c>
      <c r="F137" s="36">
        <f>IF(Cleaned_Data4[[#This Row],[Date of Joining]]="","Un-known",Cleaned_Data4[[#This Row],[Date of Joining]])</f>
        <v>42939</v>
      </c>
      <c r="G137" s="39">
        <f>IF(Cleaned_Data4[[#This Row],[Performance Rating]]="","N/A",Cleaned_Data4[[#This Row],[Performance Rating]])</f>
        <v>3</v>
      </c>
      <c r="H137" s="10" t="str">
        <f>IF(Cleaned_Data4[[#This Row],[Gender]]="","Un-known",Cleaned_Data4[[#This Row],[Gender]])</f>
        <v>Un-known</v>
      </c>
      <c r="I137" s="10" t="str">
        <f>IF(Cleaned_Data4[[#This Row],[Email]]="","invalid_email",Cleaned_Data4[[#This Row],[Email]])</f>
        <v>user44@example.com</v>
      </c>
    </row>
    <row r="138" spans="1:9" x14ac:dyDescent="0.25">
      <c r="A138" s="10" t="str">
        <f>Cleaned_Data4[[#This Row],[Employee ID]]</f>
        <v>EMP1134</v>
      </c>
      <c r="B138" s="10" t="str">
        <f>IF(Cleaned_Data4[[#This Row],[Names]]="","Un-known",Cleaned_Data4[[#This Row],[Names]])</f>
        <v>Eve Adams</v>
      </c>
      <c r="C138" s="10" t="str">
        <f>IF(Cleaned_Data4[[#This Row],[Department]]="","Un-known",Cleaned_Data4[[#This Row],[Department]])</f>
        <v>Marketing</v>
      </c>
      <c r="D138" s="10" t="str">
        <f>IF(Cleaned_Data4[[#This Row],[Country]]="","Un-known",Cleaned_Data4[[#This Row],[Country]])</f>
        <v>India</v>
      </c>
      <c r="E138" s="35">
        <f>IF(Cleaned_Data4[[#This Row],[Salary]]="N/A","0",Cleaned_Data4[[#This Row],[Salary]])</f>
        <v>62476</v>
      </c>
      <c r="F138" s="36">
        <f>IF(Cleaned_Data4[[#This Row],[Date of Joining]]="","Un-known",Cleaned_Data4[[#This Row],[Date of Joining]])</f>
        <v>42946</v>
      </c>
      <c r="G138" s="39">
        <f>IF(Cleaned_Data4[[#This Row],[Performance Rating]]="","N/A",Cleaned_Data4[[#This Row],[Performance Rating]])</f>
        <v>1</v>
      </c>
      <c r="H138" s="10" t="str">
        <f>IF(Cleaned_Data4[[#This Row],[Gender]]="","Un-known",Cleaned_Data4[[#This Row],[Gender]])</f>
        <v>Other</v>
      </c>
      <c r="I138" s="10" t="str">
        <f>IF(Cleaned_Data4[[#This Row],[Email]]="","invalid_email",Cleaned_Data4[[#This Row],[Email]])</f>
        <v>user63@example.com</v>
      </c>
    </row>
    <row r="139" spans="1:9" x14ac:dyDescent="0.25">
      <c r="A139" s="10" t="str">
        <f>Cleaned_Data4[[#This Row],[Employee ID]]</f>
        <v>EMP1135</v>
      </c>
      <c r="B139" s="10" t="str">
        <f>IF(Cleaned_Data4[[#This Row],[Names]]="","Un-known",Cleaned_Data4[[#This Row],[Names]])</f>
        <v>Un-known</v>
      </c>
      <c r="C139" s="10" t="str">
        <f>IF(Cleaned_Data4[[#This Row],[Department]]="","Un-known",Cleaned_Data4[[#This Row],[Department]])</f>
        <v>IT</v>
      </c>
      <c r="D139" s="10" t="str">
        <f>IF(Cleaned_Data4[[#This Row],[Country]]="","Un-known",Cleaned_Data4[[#This Row],[Country]])</f>
        <v>UK</v>
      </c>
      <c r="E139" s="35">
        <f>IF(Cleaned_Data4[[#This Row],[Salary]]="N/A","0",Cleaned_Data4[[#This Row],[Salary]])</f>
        <v>39280</v>
      </c>
      <c r="F139" s="36">
        <f>IF(Cleaned_Data4[[#This Row],[Date of Joining]]="","Un-known",Cleaned_Data4[[#This Row],[Date of Joining]])</f>
        <v>42953</v>
      </c>
      <c r="G139" s="39">
        <f>IF(Cleaned_Data4[[#This Row],[Performance Rating]]="","N/A",Cleaned_Data4[[#This Row],[Performance Rating]])</f>
        <v>3</v>
      </c>
      <c r="H139" s="10" t="str">
        <f>IF(Cleaned_Data4[[#This Row],[Gender]]="","Un-known",Cleaned_Data4[[#This Row],[Gender]])</f>
        <v>Female</v>
      </c>
      <c r="I139" s="10" t="str">
        <f>IF(Cleaned_Data4[[#This Row],[Email]]="","invalid_email",Cleaned_Data4[[#This Row],[Email]])</f>
        <v>user198@example.com</v>
      </c>
    </row>
    <row r="140" spans="1:9" x14ac:dyDescent="0.25">
      <c r="A140" s="10" t="str">
        <f>Cleaned_Data4[[#This Row],[Employee ID]]</f>
        <v>EMP1136</v>
      </c>
      <c r="B140" s="10" t="str">
        <f>IF(Cleaned_Data4[[#This Row],[Names]]="","Un-known",Cleaned_Data4[[#This Row],[Names]])</f>
        <v>Jane Smith</v>
      </c>
      <c r="C140" s="10" t="str">
        <f>IF(Cleaned_Data4[[#This Row],[Department]]="","Un-known",Cleaned_Data4[[#This Row],[Department]])</f>
        <v>Finance</v>
      </c>
      <c r="D140" s="10" t="str">
        <f>IF(Cleaned_Data4[[#This Row],[Country]]="","Un-known",Cleaned_Data4[[#This Row],[Country]])</f>
        <v>India</v>
      </c>
      <c r="E140" s="35">
        <f>IF(Cleaned_Data4[[#This Row],[Salary]]="N/A","0",Cleaned_Data4[[#This Row],[Salary]])</f>
        <v>60335</v>
      </c>
      <c r="F140" s="36">
        <f>IF(Cleaned_Data4[[#This Row],[Date of Joining]]="","Un-known",Cleaned_Data4[[#This Row],[Date of Joining]])</f>
        <v>42960</v>
      </c>
      <c r="G140" s="39">
        <f>IF(Cleaned_Data4[[#This Row],[Performance Rating]]="","N/A",Cleaned_Data4[[#This Row],[Performance Rating]])</f>
        <v>4</v>
      </c>
      <c r="H140" s="10" t="str">
        <f>IF(Cleaned_Data4[[#This Row],[Gender]]="","Un-known",Cleaned_Data4[[#This Row],[Gender]])</f>
        <v>Other</v>
      </c>
      <c r="I140" s="10" t="str">
        <f>IF(Cleaned_Data4[[#This Row],[Email]]="","invalid_email",Cleaned_Data4[[#This Row],[Email]])</f>
        <v>user59@example.com</v>
      </c>
    </row>
    <row r="141" spans="1:9" x14ac:dyDescent="0.25">
      <c r="A141" s="10" t="str">
        <f>Cleaned_Data4[[#This Row],[Employee ID]]</f>
        <v>EMP1137</v>
      </c>
      <c r="B141" s="10" t="str">
        <f>IF(Cleaned_Data4[[#This Row],[Names]]="","Un-known",Cleaned_Data4[[#This Row],[Names]])</f>
        <v>Chris Lee</v>
      </c>
      <c r="C141" s="10" t="str">
        <f>IF(Cleaned_Data4[[#This Row],[Department]]="","Un-known",Cleaned_Data4[[#This Row],[Department]])</f>
        <v>HR</v>
      </c>
      <c r="D141" s="10" t="str">
        <f>IF(Cleaned_Data4[[#This Row],[Country]]="","Un-known",Cleaned_Data4[[#This Row],[Country]])</f>
        <v>Germany</v>
      </c>
      <c r="E141" s="35">
        <f>IF(Cleaned_Data4[[#This Row],[Salary]]="N/A","0",Cleaned_Data4[[#This Row],[Salary]])</f>
        <v>84968</v>
      </c>
      <c r="F141" s="36">
        <f>IF(Cleaned_Data4[[#This Row],[Date of Joining]]="","Un-known",Cleaned_Data4[[#This Row],[Date of Joining]])</f>
        <v>42967</v>
      </c>
      <c r="G141" s="39" t="str">
        <f>IF(Cleaned_Data4[[#This Row],[Performance Rating]]="","N/A",Cleaned_Data4[[#This Row],[Performance Rating]])</f>
        <v>N/A</v>
      </c>
      <c r="H141" s="10" t="str">
        <f>IF(Cleaned_Data4[[#This Row],[Gender]]="","Un-known",Cleaned_Data4[[#This Row],[Gender]])</f>
        <v>Un-known</v>
      </c>
      <c r="I141" s="10" t="str">
        <f>IF(Cleaned_Data4[[#This Row],[Email]]="","invalid_email",Cleaned_Data4[[#This Row],[Email]])</f>
        <v>user165@example.com</v>
      </c>
    </row>
    <row r="142" spans="1:9" x14ac:dyDescent="0.25">
      <c r="A142" s="10" t="str">
        <f>Cleaned_Data4[[#This Row],[Employee ID]]</f>
        <v>EMP1138</v>
      </c>
      <c r="B142" s="10" t="str">
        <f>IF(Cleaned_Data4[[#This Row],[Names]]="","Un-known",Cleaned_Data4[[#This Row],[Names]])</f>
        <v>Chris Lee</v>
      </c>
      <c r="C142" s="10" t="str">
        <f>IF(Cleaned_Data4[[#This Row],[Department]]="","Un-known",Cleaned_Data4[[#This Row],[Department]])</f>
        <v>Marketing</v>
      </c>
      <c r="D142" s="10" t="str">
        <f>IF(Cleaned_Data4[[#This Row],[Country]]="","Un-known",Cleaned_Data4[[#This Row],[Country]])</f>
        <v>Australia</v>
      </c>
      <c r="E142" s="35">
        <f>IF(Cleaned_Data4[[#This Row],[Salary]]="N/A","0",Cleaned_Data4[[#This Row],[Salary]])</f>
        <v>84750</v>
      </c>
      <c r="F142" s="36">
        <f>IF(Cleaned_Data4[[#This Row],[Date of Joining]]="","Un-known",Cleaned_Data4[[#This Row],[Date of Joining]])</f>
        <v>42974</v>
      </c>
      <c r="G142" s="39">
        <f>IF(Cleaned_Data4[[#This Row],[Performance Rating]]="","N/A",Cleaned_Data4[[#This Row],[Performance Rating]])</f>
        <v>4</v>
      </c>
      <c r="H142" s="10" t="str">
        <f>IF(Cleaned_Data4[[#This Row],[Gender]]="","Un-known",Cleaned_Data4[[#This Row],[Gender]])</f>
        <v>Female</v>
      </c>
      <c r="I142" s="10" t="str">
        <f>IF(Cleaned_Data4[[#This Row],[Email]]="","invalid_email",Cleaned_Data4[[#This Row],[Email]])</f>
        <v>user3@example.com</v>
      </c>
    </row>
    <row r="143" spans="1:9" x14ac:dyDescent="0.25">
      <c r="A143" s="10" t="str">
        <f>Cleaned_Data4[[#This Row],[Employee ID]]</f>
        <v>EMP1139</v>
      </c>
      <c r="B143" s="10" t="str">
        <f>IF(Cleaned_Data4[[#This Row],[Names]]="","Un-known",Cleaned_Data4[[#This Row],[Names]])</f>
        <v>Bob Johnson</v>
      </c>
      <c r="C143" s="10" t="str">
        <f>IF(Cleaned_Data4[[#This Row],[Department]]="","Un-known",Cleaned_Data4[[#This Row],[Department]])</f>
        <v>IT</v>
      </c>
      <c r="D143" s="10" t="str">
        <f>IF(Cleaned_Data4[[#This Row],[Country]]="","Un-known",Cleaned_Data4[[#This Row],[Country]])</f>
        <v>Un-known</v>
      </c>
      <c r="E143" s="35">
        <f>IF(Cleaned_Data4[[#This Row],[Salary]]="N/A","0",Cleaned_Data4[[#This Row],[Salary]])</f>
        <v>73348</v>
      </c>
      <c r="F143" s="36">
        <f>IF(Cleaned_Data4[[#This Row],[Date of Joining]]="","Un-known",Cleaned_Data4[[#This Row],[Date of Joining]])</f>
        <v>42981</v>
      </c>
      <c r="G143" s="39">
        <f>IF(Cleaned_Data4[[#This Row],[Performance Rating]]="","N/A",Cleaned_Data4[[#This Row],[Performance Rating]])</f>
        <v>2</v>
      </c>
      <c r="H143" s="10" t="str">
        <f>IF(Cleaned_Data4[[#This Row],[Gender]]="","Un-known",Cleaned_Data4[[#This Row],[Gender]])</f>
        <v>Un-known</v>
      </c>
      <c r="I143" s="10" t="str">
        <f>IF(Cleaned_Data4[[#This Row],[Email]]="","invalid_email",Cleaned_Data4[[#This Row],[Email]])</f>
        <v>user22@example.com</v>
      </c>
    </row>
    <row r="144" spans="1:9" x14ac:dyDescent="0.25">
      <c r="A144" s="10" t="str">
        <f>Cleaned_Data4[[#This Row],[Employee ID]]</f>
        <v>EMP1140</v>
      </c>
      <c r="B144" s="10" t="str">
        <f>IF(Cleaned_Data4[[#This Row],[Names]]="","Un-known",Cleaned_Data4[[#This Row],[Names]])</f>
        <v>Chris Lee</v>
      </c>
      <c r="C144" s="10" t="str">
        <f>IF(Cleaned_Data4[[#This Row],[Department]]="","Un-known",Cleaned_Data4[[#This Row],[Department]])</f>
        <v>Sales</v>
      </c>
      <c r="D144" s="10" t="str">
        <f>IF(Cleaned_Data4[[#This Row],[Country]]="","Un-known",Cleaned_Data4[[#This Row],[Country]])</f>
        <v>USA</v>
      </c>
      <c r="E144" s="35" t="str">
        <f>IF(Cleaned_Data4[[#This Row],[Salary]]="N/A","0",Cleaned_Data4[[#This Row],[Salary]])</f>
        <v>0</v>
      </c>
      <c r="F144" s="36">
        <f>IF(Cleaned_Data4[[#This Row],[Date of Joining]]="","Un-known",Cleaned_Data4[[#This Row],[Date of Joining]])</f>
        <v>42988</v>
      </c>
      <c r="G144" s="39">
        <f>IF(Cleaned_Data4[[#This Row],[Performance Rating]]="","N/A",Cleaned_Data4[[#This Row],[Performance Rating]])</f>
        <v>4</v>
      </c>
      <c r="H144" s="10" t="str">
        <f>IF(Cleaned_Data4[[#This Row],[Gender]]="","Un-known",Cleaned_Data4[[#This Row],[Gender]])</f>
        <v>Other</v>
      </c>
      <c r="I144" s="10" t="str">
        <f>IF(Cleaned_Data4[[#This Row],[Email]]="","invalid_email",Cleaned_Data4[[#This Row],[Email]])</f>
        <v>invalid_email</v>
      </c>
    </row>
    <row r="145" spans="1:9" x14ac:dyDescent="0.25">
      <c r="A145" s="10" t="str">
        <f>Cleaned_Data4[[#This Row],[Employee ID]]</f>
        <v>EMP1141</v>
      </c>
      <c r="B145" s="10" t="str">
        <f>IF(Cleaned_Data4[[#This Row],[Names]]="","Un-known",Cleaned_Data4[[#This Row],[Names]])</f>
        <v>Jane Smith</v>
      </c>
      <c r="C145" s="10" t="str">
        <f>IF(Cleaned_Data4[[#This Row],[Department]]="","Un-known",Cleaned_Data4[[#This Row],[Department]])</f>
        <v>Marketing</v>
      </c>
      <c r="D145" s="10" t="str">
        <f>IF(Cleaned_Data4[[#This Row],[Country]]="","Un-known",Cleaned_Data4[[#This Row],[Country]])</f>
        <v>USA</v>
      </c>
      <c r="E145" s="35">
        <f>IF(Cleaned_Data4[[#This Row],[Salary]]="N/A","0",Cleaned_Data4[[#This Row],[Salary]])</f>
        <v>66882</v>
      </c>
      <c r="F145" s="36">
        <f>IF(Cleaned_Data4[[#This Row],[Date of Joining]]="","Un-known",Cleaned_Data4[[#This Row],[Date of Joining]])</f>
        <v>42995</v>
      </c>
      <c r="G145" s="39">
        <f>IF(Cleaned_Data4[[#This Row],[Performance Rating]]="","N/A",Cleaned_Data4[[#This Row],[Performance Rating]])</f>
        <v>5</v>
      </c>
      <c r="H145" s="10" t="str">
        <f>IF(Cleaned_Data4[[#This Row],[Gender]]="","Un-known",Cleaned_Data4[[#This Row],[Gender]])</f>
        <v>Other</v>
      </c>
      <c r="I145" s="10" t="str">
        <f>IF(Cleaned_Data4[[#This Row],[Email]]="","invalid_email",Cleaned_Data4[[#This Row],[Email]])</f>
        <v>user103@example.com</v>
      </c>
    </row>
    <row r="146" spans="1:9" x14ac:dyDescent="0.25">
      <c r="A146" s="10" t="str">
        <f>Cleaned_Data4[[#This Row],[Employee ID]]</f>
        <v>EMP1142</v>
      </c>
      <c r="B146" s="10" t="str">
        <f>IF(Cleaned_Data4[[#This Row],[Names]]="","Un-known",Cleaned_Data4[[#This Row],[Names]])</f>
        <v>Alice Brown</v>
      </c>
      <c r="C146" s="10" t="str">
        <f>IF(Cleaned_Data4[[#This Row],[Department]]="","Un-known",Cleaned_Data4[[#This Row],[Department]])</f>
        <v>Marketing</v>
      </c>
      <c r="D146" s="10" t="str">
        <f>IF(Cleaned_Data4[[#This Row],[Country]]="","Un-known",Cleaned_Data4[[#This Row],[Country]])</f>
        <v>Un-known</v>
      </c>
      <c r="E146" s="35">
        <f>IF(Cleaned_Data4[[#This Row],[Salary]]="N/A","0",Cleaned_Data4[[#This Row],[Salary]])</f>
        <v>86775</v>
      </c>
      <c r="F146" s="36">
        <f>IF(Cleaned_Data4[[#This Row],[Date of Joining]]="","Un-known",Cleaned_Data4[[#This Row],[Date of Joining]])</f>
        <v>43002</v>
      </c>
      <c r="G146" s="39">
        <f>IF(Cleaned_Data4[[#This Row],[Performance Rating]]="","N/A",Cleaned_Data4[[#This Row],[Performance Rating]])</f>
        <v>3</v>
      </c>
      <c r="H146" s="10" t="str">
        <f>IF(Cleaned_Data4[[#This Row],[Gender]]="","Un-known",Cleaned_Data4[[#This Row],[Gender]])</f>
        <v>Other</v>
      </c>
      <c r="I146" s="10" t="str">
        <f>IF(Cleaned_Data4[[#This Row],[Email]]="","invalid_email",Cleaned_Data4[[#This Row],[Email]])</f>
        <v>user190@example.com</v>
      </c>
    </row>
    <row r="147" spans="1:9" x14ac:dyDescent="0.25">
      <c r="A147" s="10" t="str">
        <f>Cleaned_Data4[[#This Row],[Employee ID]]</f>
        <v>EMP1143</v>
      </c>
      <c r="B147" s="10" t="str">
        <f>IF(Cleaned_Data4[[#This Row],[Names]]="","Un-known",Cleaned_Data4[[#This Row],[Names]])</f>
        <v>Chris Lee</v>
      </c>
      <c r="C147" s="10" t="str">
        <f>IF(Cleaned_Data4[[#This Row],[Department]]="","Un-known",Cleaned_Data4[[#This Row],[Department]])</f>
        <v>Sales</v>
      </c>
      <c r="D147" s="10" t="str">
        <f>IF(Cleaned_Data4[[#This Row],[Country]]="","Un-known",Cleaned_Data4[[#This Row],[Country]])</f>
        <v>UK</v>
      </c>
      <c r="E147" s="35">
        <f>IF(Cleaned_Data4[[#This Row],[Salary]]="N/A","0",Cleaned_Data4[[#This Row],[Salary]])</f>
        <v>91620</v>
      </c>
      <c r="F147" s="36">
        <f>IF(Cleaned_Data4[[#This Row],[Date of Joining]]="","Un-known",Cleaned_Data4[[#This Row],[Date of Joining]])</f>
        <v>43009</v>
      </c>
      <c r="G147" s="39" t="str">
        <f>IF(Cleaned_Data4[[#This Row],[Performance Rating]]="","N/A",Cleaned_Data4[[#This Row],[Performance Rating]])</f>
        <v>N/A</v>
      </c>
      <c r="H147" s="10" t="str">
        <f>IF(Cleaned_Data4[[#This Row],[Gender]]="","Un-known",Cleaned_Data4[[#This Row],[Gender]])</f>
        <v>Un-known</v>
      </c>
      <c r="I147" s="10" t="str">
        <f>IF(Cleaned_Data4[[#This Row],[Email]]="","invalid_email",Cleaned_Data4[[#This Row],[Email]])</f>
        <v>user114@example.com</v>
      </c>
    </row>
    <row r="148" spans="1:9" x14ac:dyDescent="0.25">
      <c r="A148" s="10" t="str">
        <f>Cleaned_Data4[[#This Row],[Employee ID]]</f>
        <v>EMP1144</v>
      </c>
      <c r="B148" s="10" t="str">
        <f>IF(Cleaned_Data4[[#This Row],[Names]]="","Un-known",Cleaned_Data4[[#This Row],[Names]])</f>
        <v>Eve Adams</v>
      </c>
      <c r="C148" s="10" t="str">
        <f>IF(Cleaned_Data4[[#This Row],[Department]]="","Un-known",Cleaned_Data4[[#This Row],[Department]])</f>
        <v>Un-known</v>
      </c>
      <c r="D148" s="10" t="str">
        <f>IF(Cleaned_Data4[[#This Row],[Country]]="","Un-known",Cleaned_Data4[[#This Row],[Country]])</f>
        <v>Un-known</v>
      </c>
      <c r="E148" s="35">
        <f>IF(Cleaned_Data4[[#This Row],[Salary]]="N/A","0",Cleaned_Data4[[#This Row],[Salary]])</f>
        <v>94148</v>
      </c>
      <c r="F148" s="36">
        <f>IF(Cleaned_Data4[[#This Row],[Date of Joining]]="","Un-known",Cleaned_Data4[[#This Row],[Date of Joining]])</f>
        <v>43016</v>
      </c>
      <c r="G148" s="39">
        <f>IF(Cleaned_Data4[[#This Row],[Performance Rating]]="","N/A",Cleaned_Data4[[#This Row],[Performance Rating]])</f>
        <v>2</v>
      </c>
      <c r="H148" s="10" t="str">
        <f>IF(Cleaned_Data4[[#This Row],[Gender]]="","Un-known",Cleaned_Data4[[#This Row],[Gender]])</f>
        <v>Un-known</v>
      </c>
      <c r="I148" s="10" t="str">
        <f>IF(Cleaned_Data4[[#This Row],[Email]]="","invalid_email",Cleaned_Data4[[#This Row],[Email]])</f>
        <v>user53@example.com</v>
      </c>
    </row>
    <row r="149" spans="1:9" x14ac:dyDescent="0.25">
      <c r="A149" s="10" t="str">
        <f>Cleaned_Data4[[#This Row],[Employee ID]]</f>
        <v>EMP1145</v>
      </c>
      <c r="B149" s="10" t="str">
        <f>IF(Cleaned_Data4[[#This Row],[Names]]="","Un-known",Cleaned_Data4[[#This Row],[Names]])</f>
        <v>Sam Wilson</v>
      </c>
      <c r="C149" s="10" t="str">
        <f>IF(Cleaned_Data4[[#This Row],[Department]]="","Un-known",Cleaned_Data4[[#This Row],[Department]])</f>
        <v>Sales</v>
      </c>
      <c r="D149" s="10" t="str">
        <f>IF(Cleaned_Data4[[#This Row],[Country]]="","Un-known",Cleaned_Data4[[#This Row],[Country]])</f>
        <v>Australia</v>
      </c>
      <c r="E149" s="35">
        <f>IF(Cleaned_Data4[[#This Row],[Salary]]="N/A","0",Cleaned_Data4[[#This Row],[Salary]])</f>
        <v>35627</v>
      </c>
      <c r="F149" s="36">
        <f>IF(Cleaned_Data4[[#This Row],[Date of Joining]]="","Un-known",Cleaned_Data4[[#This Row],[Date of Joining]])</f>
        <v>43023</v>
      </c>
      <c r="G149" s="39">
        <f>IF(Cleaned_Data4[[#This Row],[Performance Rating]]="","N/A",Cleaned_Data4[[#This Row],[Performance Rating]])</f>
        <v>5</v>
      </c>
      <c r="H149" s="10" t="str">
        <f>IF(Cleaned_Data4[[#This Row],[Gender]]="","Un-known",Cleaned_Data4[[#This Row],[Gender]])</f>
        <v>Female</v>
      </c>
      <c r="I149" s="10" t="str">
        <f>IF(Cleaned_Data4[[#This Row],[Email]]="","invalid_email",Cleaned_Data4[[#This Row],[Email]])</f>
        <v>user188@example.com</v>
      </c>
    </row>
    <row r="150" spans="1:9" x14ac:dyDescent="0.25">
      <c r="A150" s="10" t="str">
        <f>Cleaned_Data4[[#This Row],[Employee ID]]</f>
        <v>EMP1146</v>
      </c>
      <c r="B150" s="10" t="str">
        <f>IF(Cleaned_Data4[[#This Row],[Names]]="","Un-known",Cleaned_Data4[[#This Row],[Names]])</f>
        <v>John Doe</v>
      </c>
      <c r="C150" s="10" t="str">
        <f>IF(Cleaned_Data4[[#This Row],[Department]]="","Un-known",Cleaned_Data4[[#This Row],[Department]])</f>
        <v>Marketing</v>
      </c>
      <c r="D150" s="10" t="str">
        <f>IF(Cleaned_Data4[[#This Row],[Country]]="","Un-known",Cleaned_Data4[[#This Row],[Country]])</f>
        <v>USA</v>
      </c>
      <c r="E150" s="35">
        <f>IF(Cleaned_Data4[[#This Row],[Salary]]="N/A","0",Cleaned_Data4[[#This Row],[Salary]])</f>
        <v>57141</v>
      </c>
      <c r="F150" s="36">
        <f>IF(Cleaned_Data4[[#This Row],[Date of Joining]]="","Un-known",Cleaned_Data4[[#This Row],[Date of Joining]])</f>
        <v>43030</v>
      </c>
      <c r="G150" s="39">
        <f>IF(Cleaned_Data4[[#This Row],[Performance Rating]]="","N/A",Cleaned_Data4[[#This Row],[Performance Rating]])</f>
        <v>2</v>
      </c>
      <c r="H150" s="10" t="str">
        <f>IF(Cleaned_Data4[[#This Row],[Gender]]="","Un-known",Cleaned_Data4[[#This Row],[Gender]])</f>
        <v>Un-known</v>
      </c>
      <c r="I150" s="10" t="str">
        <f>IF(Cleaned_Data4[[#This Row],[Email]]="","invalid_email",Cleaned_Data4[[#This Row],[Email]])</f>
        <v>user165@example.com</v>
      </c>
    </row>
    <row r="151" spans="1:9" x14ac:dyDescent="0.25">
      <c r="A151" s="10" t="str">
        <f>Cleaned_Data4[[#This Row],[Employee ID]]</f>
        <v>EMP1147</v>
      </c>
      <c r="B151" s="10" t="str">
        <f>IF(Cleaned_Data4[[#This Row],[Names]]="","Un-known",Cleaned_Data4[[#This Row],[Names]])</f>
        <v>Bob Johnson</v>
      </c>
      <c r="C151" s="10" t="str">
        <f>IF(Cleaned_Data4[[#This Row],[Department]]="","Un-known",Cleaned_Data4[[#This Row],[Department]])</f>
        <v>Sales</v>
      </c>
      <c r="D151" s="10" t="str">
        <f>IF(Cleaned_Data4[[#This Row],[Country]]="","Un-known",Cleaned_Data4[[#This Row],[Country]])</f>
        <v>Australia</v>
      </c>
      <c r="E151" s="35">
        <f>IF(Cleaned_Data4[[#This Row],[Salary]]="N/A","0",Cleaned_Data4[[#This Row],[Salary]])</f>
        <v>65270</v>
      </c>
      <c r="F151" s="36">
        <f>IF(Cleaned_Data4[[#This Row],[Date of Joining]]="","Un-known",Cleaned_Data4[[#This Row],[Date of Joining]])</f>
        <v>43037</v>
      </c>
      <c r="G151" s="39">
        <f>IF(Cleaned_Data4[[#This Row],[Performance Rating]]="","N/A",Cleaned_Data4[[#This Row],[Performance Rating]])</f>
        <v>1</v>
      </c>
      <c r="H151" s="10" t="str">
        <f>IF(Cleaned_Data4[[#This Row],[Gender]]="","Un-known",Cleaned_Data4[[#This Row],[Gender]])</f>
        <v>Un-known</v>
      </c>
      <c r="I151" s="10" t="str">
        <f>IF(Cleaned_Data4[[#This Row],[Email]]="","invalid_email",Cleaned_Data4[[#This Row],[Email]])</f>
        <v>user163@example.com</v>
      </c>
    </row>
    <row r="152" spans="1:9" x14ac:dyDescent="0.25">
      <c r="A152" s="10" t="str">
        <f>Cleaned_Data4[[#This Row],[Employee ID]]</f>
        <v>EMP1148</v>
      </c>
      <c r="B152" s="10" t="str">
        <f>IF(Cleaned_Data4[[#This Row],[Names]]="","Un-known",Cleaned_Data4[[#This Row],[Names]])</f>
        <v>Bob Johnson</v>
      </c>
      <c r="C152" s="10" t="str">
        <f>IF(Cleaned_Data4[[#This Row],[Department]]="","Un-known",Cleaned_Data4[[#This Row],[Department]])</f>
        <v>Un-known</v>
      </c>
      <c r="D152" s="10" t="str">
        <f>IF(Cleaned_Data4[[#This Row],[Country]]="","Un-known",Cleaned_Data4[[#This Row],[Country]])</f>
        <v>UK</v>
      </c>
      <c r="E152" s="35">
        <f>IF(Cleaned_Data4[[#This Row],[Salary]]="N/A","0",Cleaned_Data4[[#This Row],[Salary]])</f>
        <v>67335</v>
      </c>
      <c r="F152" s="36">
        <f>IF(Cleaned_Data4[[#This Row],[Date of Joining]]="","Un-known",Cleaned_Data4[[#This Row],[Date of Joining]])</f>
        <v>43044</v>
      </c>
      <c r="G152" s="39">
        <f>IF(Cleaned_Data4[[#This Row],[Performance Rating]]="","N/A",Cleaned_Data4[[#This Row],[Performance Rating]])</f>
        <v>1</v>
      </c>
      <c r="H152" s="10" t="str">
        <f>IF(Cleaned_Data4[[#This Row],[Gender]]="","Un-known",Cleaned_Data4[[#This Row],[Gender]])</f>
        <v>Other</v>
      </c>
      <c r="I152" s="10" t="str">
        <f>IF(Cleaned_Data4[[#This Row],[Email]]="","invalid_email",Cleaned_Data4[[#This Row],[Email]])</f>
        <v>user112@example.com</v>
      </c>
    </row>
    <row r="153" spans="1:9" x14ac:dyDescent="0.25">
      <c r="A153" s="10" t="str">
        <f>Cleaned_Data4[[#This Row],[Employee ID]]</f>
        <v>EMP1149</v>
      </c>
      <c r="B153" s="10" t="str">
        <f>IF(Cleaned_Data4[[#This Row],[Names]]="","Un-known",Cleaned_Data4[[#This Row],[Names]])</f>
        <v>Sam Wilson</v>
      </c>
      <c r="C153" s="10" t="str">
        <f>IF(Cleaned_Data4[[#This Row],[Department]]="","Un-known",Cleaned_Data4[[#This Row],[Department]])</f>
        <v>Marketing</v>
      </c>
      <c r="D153" s="10" t="str">
        <f>IF(Cleaned_Data4[[#This Row],[Country]]="","Un-known",Cleaned_Data4[[#This Row],[Country]])</f>
        <v>India</v>
      </c>
      <c r="E153" s="35">
        <f>IF(Cleaned_Data4[[#This Row],[Salary]]="N/A","0",Cleaned_Data4[[#This Row],[Salary]])</f>
        <v>98475</v>
      </c>
      <c r="F153" s="36">
        <f>IF(Cleaned_Data4[[#This Row],[Date of Joining]]="","Un-known",Cleaned_Data4[[#This Row],[Date of Joining]])</f>
        <v>43051</v>
      </c>
      <c r="G153" s="39">
        <f>IF(Cleaned_Data4[[#This Row],[Performance Rating]]="","N/A",Cleaned_Data4[[#This Row],[Performance Rating]])</f>
        <v>5</v>
      </c>
      <c r="H153" s="10" t="str">
        <f>IF(Cleaned_Data4[[#This Row],[Gender]]="","Un-known",Cleaned_Data4[[#This Row],[Gender]])</f>
        <v>Other</v>
      </c>
      <c r="I153" s="10" t="str">
        <f>IF(Cleaned_Data4[[#This Row],[Email]]="","invalid_email",Cleaned_Data4[[#This Row],[Email]])</f>
        <v>user30@example.com</v>
      </c>
    </row>
  </sheetData>
  <mergeCells count="96">
    <mergeCell ref="K2:M3"/>
    <mergeCell ref="A1:M1"/>
    <mergeCell ref="A2:I2"/>
    <mergeCell ref="O2:S3"/>
    <mergeCell ref="U2:V3"/>
    <mergeCell ref="V4:V5"/>
    <mergeCell ref="U4:U5"/>
    <mergeCell ref="K69:P69"/>
    <mergeCell ref="P46:V47"/>
    <mergeCell ref="R73:V74"/>
    <mergeCell ref="V13:V14"/>
    <mergeCell ref="R82:V83"/>
    <mergeCell ref="R72:V72"/>
    <mergeCell ref="O4:S4"/>
    <mergeCell ref="L24:M24"/>
    <mergeCell ref="L25:M25"/>
    <mergeCell ref="L26:M26"/>
    <mergeCell ref="L27:M27"/>
    <mergeCell ref="L28:M28"/>
    <mergeCell ref="L51:M51"/>
    <mergeCell ref="K82:L83"/>
    <mergeCell ref="M82:M83"/>
    <mergeCell ref="N82:N83"/>
    <mergeCell ref="O82:O83"/>
    <mergeCell ref="P82:P83"/>
    <mergeCell ref="K76:L76"/>
    <mergeCell ref="K77:L77"/>
    <mergeCell ref="K78:L78"/>
    <mergeCell ref="K79:L79"/>
    <mergeCell ref="K80:L80"/>
    <mergeCell ref="K81:L81"/>
    <mergeCell ref="K72:L72"/>
    <mergeCell ref="K73:L73"/>
    <mergeCell ref="K74:L74"/>
    <mergeCell ref="K75:L75"/>
    <mergeCell ref="L64:M64"/>
    <mergeCell ref="L65:M65"/>
    <mergeCell ref="K70:L71"/>
    <mergeCell ref="M70:M71"/>
    <mergeCell ref="N70:N71"/>
    <mergeCell ref="O70:O71"/>
    <mergeCell ref="P70:P71"/>
    <mergeCell ref="K58:K59"/>
    <mergeCell ref="L58:M59"/>
    <mergeCell ref="L60:M60"/>
    <mergeCell ref="O60:S61"/>
    <mergeCell ref="L61:M61"/>
    <mergeCell ref="L62:M62"/>
    <mergeCell ref="O62:S63"/>
    <mergeCell ref="L63:M63"/>
    <mergeCell ref="L50:M50"/>
    <mergeCell ref="O51:S52"/>
    <mergeCell ref="L52:M52"/>
    <mergeCell ref="L53:M53"/>
    <mergeCell ref="O53:S53"/>
    <mergeCell ref="K56:M57"/>
    <mergeCell ref="L42:M42"/>
    <mergeCell ref="K45:M46"/>
    <mergeCell ref="K47:K48"/>
    <mergeCell ref="L47:M48"/>
    <mergeCell ref="L49:M49"/>
    <mergeCell ref="O49:S50"/>
    <mergeCell ref="O36:S37"/>
    <mergeCell ref="L37:M37"/>
    <mergeCell ref="L38:M38"/>
    <mergeCell ref="O38:S39"/>
    <mergeCell ref="L39:M39"/>
    <mergeCell ref="L40:M40"/>
    <mergeCell ref="O40:S41"/>
    <mergeCell ref="L41:M41"/>
    <mergeCell ref="L29:M29"/>
    <mergeCell ref="K32:M33"/>
    <mergeCell ref="K34:K35"/>
    <mergeCell ref="L34:M35"/>
    <mergeCell ref="L36:M36"/>
    <mergeCell ref="O23:S23"/>
    <mergeCell ref="O24:S25"/>
    <mergeCell ref="O26:S27"/>
    <mergeCell ref="L15:M15"/>
    <mergeCell ref="L16:M16"/>
    <mergeCell ref="K19:M20"/>
    <mergeCell ref="K21:K22"/>
    <mergeCell ref="L21:M22"/>
    <mergeCell ref="L23:M23"/>
    <mergeCell ref="L11:M11"/>
    <mergeCell ref="O11:S12"/>
    <mergeCell ref="L12:M12"/>
    <mergeCell ref="L13:M13"/>
    <mergeCell ref="O13:S14"/>
    <mergeCell ref="L14:M14"/>
    <mergeCell ref="K4:L4"/>
    <mergeCell ref="K6:M7"/>
    <mergeCell ref="K8:K9"/>
    <mergeCell ref="L8:M9"/>
    <mergeCell ref="O9:S10"/>
    <mergeCell ref="L10:M10"/>
  </mergeCells>
  <phoneticPr fontId="3" type="noConversion"/>
  <conditionalFormatting sqref="M72:P80">
    <cfRule type="cellIs" dxfId="1" priority="2" operator="greaterThan">
      <formula>0</formula>
    </cfRule>
  </conditionalFormatting>
  <conditionalFormatting sqref="S42">
    <cfRule type="duplicateValues" dxfId="0" priority="1"/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for day3</vt:lpstr>
      <vt:lpstr>Day3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Nemiga Madhaiyan</dc:creator>
  <cp:lastModifiedBy>Nemiga Madhaiyan</cp:lastModifiedBy>
  <dcterms:created xsi:type="dcterms:W3CDTF">2025-12-06T11:25:25Z</dcterms:created>
  <dcterms:modified xsi:type="dcterms:W3CDTF">2025-12-08T18:36:07Z</dcterms:modified>
</cp:coreProperties>
</file>
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9"/>
  <workbookPr defaultThemeVersion="166925"/>
  <xr:revisionPtr revIDLastSave="0" documentId="8_{495B091E-5B87-48E6-ADA1-88EA495FF1A3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Raw data for Day4" sheetId="3" r:id="rId1"/>
    <sheet name="Day4" sheetId="1" r:id="rId2"/>
  </sheets>
  <externalReferences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6" i="1" l="1"/>
  <c r="W25" i="1"/>
  <c r="W24" i="1"/>
  <c r="W23" i="1"/>
  <c r="W22" i="1" a="1"/>
  <c r="W22" i="1"/>
  <c r="W21" i="1"/>
  <c r="Y26" i="1"/>
  <c r="Y25" i="1"/>
  <c r="Y24" i="1"/>
  <c r="Y23" i="1"/>
  <c r="Y22" i="1"/>
  <c r="Y21" i="1"/>
  <c r="X26" i="1"/>
  <c r="X25" i="1"/>
  <c r="X24" i="1"/>
  <c r="X23" i="1"/>
  <c r="X22" i="1"/>
  <c r="X21" i="1"/>
  <c r="V26" i="1"/>
  <c r="V25" i="1"/>
  <c r="V24" i="1"/>
  <c r="V23" i="1"/>
  <c r="V22" i="1"/>
  <c r="V21" i="1"/>
  <c r="U26" i="1"/>
  <c r="U25" i="1"/>
  <c r="U23" i="1"/>
  <c r="U22" i="1"/>
  <c r="U21" i="1"/>
  <c r="T26" i="1"/>
  <c r="T25" i="1"/>
  <c r="T24" i="1"/>
  <c r="T23" i="1"/>
  <c r="T22" i="1"/>
  <c r="T21" i="1"/>
  <c r="U24" i="1"/>
  <c r="Y27" i="1"/>
  <c r="X27" i="1"/>
  <c r="W27" i="1"/>
  <c r="V27" i="1"/>
  <c r="U27" i="1"/>
  <c r="T27" i="1"/>
  <c r="X10" i="1"/>
  <c r="X9" i="1"/>
  <c r="X8" i="1"/>
  <c r="X7" i="1"/>
  <c r="X6" i="1"/>
  <c r="Y6" i="1"/>
  <c r="V10" i="1"/>
  <c r="V9" i="1"/>
  <c r="V8" i="1"/>
  <c r="V7" i="1"/>
  <c r="U10" i="1"/>
  <c r="U9" i="1"/>
  <c r="U8" i="1"/>
  <c r="U7" i="1"/>
  <c r="W10" i="1"/>
  <c r="W9" i="1"/>
  <c r="W8" i="1"/>
  <c r="W7" i="1"/>
  <c r="W6" i="1"/>
  <c r="V6" i="1"/>
  <c r="U6" i="1"/>
  <c r="X5" i="1"/>
  <c r="X11" i="1" s="1"/>
  <c r="W5" i="1"/>
  <c r="W11" i="1" s="1"/>
  <c r="V5" i="1"/>
  <c r="V11" i="1" s="1"/>
  <c r="T10" i="1"/>
  <c r="T9" i="1"/>
  <c r="T8" i="1"/>
  <c r="T7" i="1"/>
  <c r="T6" i="1"/>
  <c r="U5" i="1"/>
  <c r="U11" i="1" s="1"/>
  <c r="T5" i="1"/>
  <c r="T11" i="1" s="1"/>
  <c r="Y10" i="1"/>
  <c r="Y9" i="1"/>
  <c r="Y8" i="1"/>
  <c r="Y7" i="1"/>
  <c r="Y5" i="1"/>
  <c r="Y11" i="1" s="1"/>
  <c r="Z40" i="1"/>
  <c r="Z39" i="1"/>
  <c r="Z38" i="1"/>
  <c r="Z37" i="1"/>
  <c r="Z36" i="1"/>
  <c r="Z35" i="1"/>
  <c r="Y40" i="1"/>
  <c r="Y39" i="1"/>
  <c r="Y38" i="1"/>
  <c r="Y37" i="1"/>
  <c r="Y36" i="1"/>
  <c r="Y35" i="1"/>
  <c r="X40" i="1"/>
  <c r="X39" i="1"/>
  <c r="X38" i="1"/>
  <c r="X37" i="1"/>
  <c r="X36" i="1"/>
  <c r="W40" i="1"/>
  <c r="W39" i="1"/>
  <c r="W38" i="1"/>
  <c r="W37" i="1"/>
  <c r="W36" i="1"/>
  <c r="V40" i="1"/>
  <c r="V39" i="1"/>
  <c r="V38" i="1"/>
  <c r="V37" i="1"/>
  <c r="V36" i="1"/>
  <c r="U40" i="1"/>
  <c r="U39" i="1"/>
  <c r="U38" i="1"/>
  <c r="U37" i="1"/>
  <c r="U36" i="1"/>
  <c r="T40" i="1"/>
  <c r="T39" i="1"/>
  <c r="T38" i="1"/>
  <c r="T37" i="1"/>
  <c r="T36" i="1"/>
  <c r="X35" i="1"/>
  <c r="W35" i="1"/>
  <c r="V35" i="1"/>
  <c r="U35" i="1"/>
  <c r="T35" i="1"/>
  <c r="Q60" i="1"/>
  <c r="P59" i="1"/>
  <c r="P58" i="1"/>
  <c r="P57" i="1"/>
  <c r="P56" i="1"/>
  <c r="P55" i="1"/>
  <c r="P54" i="1"/>
  <c r="P53" i="1"/>
  <c r="O59" i="1"/>
  <c r="O58" i="1"/>
  <c r="O57" i="1"/>
  <c r="O56" i="1"/>
  <c r="O55" i="1"/>
  <c r="O54" i="1"/>
  <c r="O53" i="1"/>
  <c r="N59" i="1"/>
  <c r="N58" i="1"/>
  <c r="N57" i="1"/>
  <c r="N56" i="1"/>
  <c r="N55" i="1"/>
  <c r="N54" i="1"/>
  <c r="N53" i="1"/>
  <c r="M59" i="1"/>
  <c r="M58" i="1"/>
  <c r="M57" i="1"/>
  <c r="M56" i="1"/>
  <c r="M55" i="1"/>
  <c r="M54" i="1"/>
  <c r="M53" i="1"/>
  <c r="L59" i="1"/>
  <c r="L58" i="1"/>
  <c r="L57" i="1"/>
  <c r="L56" i="1"/>
  <c r="L55" i="1"/>
  <c r="L54" i="1"/>
  <c r="L53" i="1"/>
  <c r="P60" i="1"/>
  <c r="O60" i="1"/>
  <c r="N60" i="1"/>
  <c r="M60" i="1"/>
  <c r="L60" i="1"/>
  <c r="Q48" i="1"/>
  <c r="P47" i="1"/>
  <c r="P46" i="1"/>
  <c r="P45" i="1"/>
  <c r="P44" i="1"/>
  <c r="P43" i="1"/>
  <c r="P42" i="1"/>
  <c r="P41" i="1"/>
  <c r="O47" i="1"/>
  <c r="O46" i="1"/>
  <c r="O45" i="1"/>
  <c r="O44" i="1"/>
  <c r="O43" i="1"/>
  <c r="O42" i="1"/>
  <c r="O41" i="1"/>
  <c r="N47" i="1"/>
  <c r="N46" i="1"/>
  <c r="N45" i="1"/>
  <c r="N44" i="1"/>
  <c r="N43" i="1"/>
  <c r="N42" i="1"/>
  <c r="N41" i="1"/>
  <c r="M47" i="1"/>
  <c r="M46" i="1"/>
  <c r="M45" i="1"/>
  <c r="M44" i="1"/>
  <c r="M43" i="1"/>
  <c r="M42" i="1"/>
  <c r="M41" i="1"/>
  <c r="L47" i="1"/>
  <c r="L46" i="1"/>
  <c r="L45" i="1"/>
  <c r="L44" i="1"/>
  <c r="L43" i="1"/>
  <c r="L42" i="1"/>
  <c r="L41" i="1"/>
  <c r="P48" i="1"/>
  <c r="O48" i="1"/>
  <c r="N48" i="1"/>
  <c r="M48" i="1"/>
  <c r="L48" i="1"/>
  <c r="Q36" i="1"/>
  <c r="P35" i="1"/>
  <c r="P34" i="1"/>
  <c r="P33" i="1"/>
  <c r="P32" i="1"/>
  <c r="P31" i="1"/>
  <c r="P30" i="1"/>
  <c r="P29" i="1"/>
  <c r="O35" i="1"/>
  <c r="O34" i="1"/>
  <c r="O33" i="1"/>
  <c r="O32" i="1"/>
  <c r="O31" i="1"/>
  <c r="O30" i="1"/>
  <c r="O29" i="1"/>
  <c r="N35" i="1"/>
  <c r="N34" i="1"/>
  <c r="N33" i="1"/>
  <c r="N32" i="1"/>
  <c r="N31" i="1"/>
  <c r="N30" i="1"/>
  <c r="N29" i="1"/>
  <c r="M35" i="1"/>
  <c r="M34" i="1"/>
  <c r="M33" i="1"/>
  <c r="M32" i="1"/>
  <c r="M31" i="1"/>
  <c r="M30" i="1"/>
  <c r="M29" i="1"/>
  <c r="L35" i="1"/>
  <c r="L34" i="1"/>
  <c r="L33" i="1"/>
  <c r="L32" i="1"/>
  <c r="L31" i="1"/>
  <c r="L30" i="1"/>
  <c r="L29" i="1"/>
  <c r="P36" i="1"/>
  <c r="O36" i="1"/>
  <c r="N36" i="1"/>
  <c r="M36" i="1"/>
  <c r="L36" i="1"/>
  <c r="Q24" i="1"/>
  <c r="P23" i="1"/>
  <c r="P22" i="1"/>
  <c r="P21" i="1"/>
  <c r="P20" i="1"/>
  <c r="P19" i="1"/>
  <c r="P18" i="1"/>
  <c r="P17" i="1"/>
  <c r="O23" i="1"/>
  <c r="O22" i="1"/>
  <c r="O21" i="1"/>
  <c r="O20" i="1"/>
  <c r="O19" i="1"/>
  <c r="O18" i="1"/>
  <c r="O17" i="1"/>
  <c r="N23" i="1"/>
  <c r="N22" i="1"/>
  <c r="N21" i="1"/>
  <c r="N20" i="1"/>
  <c r="N19" i="1"/>
  <c r="N18" i="1"/>
  <c r="N17" i="1"/>
  <c r="M23" i="1"/>
  <c r="M22" i="1"/>
  <c r="M21" i="1"/>
  <c r="M20" i="1"/>
  <c r="M19" i="1"/>
  <c r="M18" i="1"/>
  <c r="M17" i="1"/>
  <c r="L23" i="1"/>
  <c r="L22" i="1"/>
  <c r="L21" i="1"/>
  <c r="L20" i="1"/>
  <c r="L19" i="1"/>
  <c r="L18" i="1"/>
  <c r="L17" i="1"/>
  <c r="P24" i="1"/>
  <c r="O24" i="1"/>
  <c r="N24" i="1"/>
  <c r="M24" i="1"/>
  <c r="L24" i="1"/>
  <c r="Q12" i="1"/>
  <c r="P11" i="1"/>
  <c r="P10" i="1"/>
  <c r="P9" i="1"/>
  <c r="P8" i="1"/>
  <c r="P7" i="1"/>
  <c r="P6" i="1"/>
  <c r="O11" i="1"/>
  <c r="O10" i="1"/>
  <c r="O9" i="1"/>
  <c r="O8" i="1"/>
  <c r="O7" i="1"/>
  <c r="O6" i="1"/>
  <c r="N10" i="1"/>
  <c r="N11" i="1"/>
  <c r="N9" i="1"/>
  <c r="N8" i="1"/>
  <c r="N7" i="1"/>
  <c r="N6" i="1"/>
  <c r="P5" i="1"/>
  <c r="P12" i="1" s="1"/>
  <c r="O5" i="1"/>
  <c r="O12" i="1" s="1"/>
  <c r="N5" i="1"/>
  <c r="N12" i="1" s="1"/>
  <c r="M11" i="1"/>
  <c r="M10" i="1"/>
  <c r="M9" i="1"/>
  <c r="M8" i="1"/>
  <c r="M7" i="1"/>
  <c r="M6" i="1"/>
  <c r="M5" i="1"/>
  <c r="M12" i="1" s="1"/>
  <c r="L11" i="1"/>
  <c r="L10" i="1"/>
  <c r="L9" i="1"/>
  <c r="L8" i="1"/>
  <c r="L7" i="1"/>
  <c r="L5" i="1"/>
  <c r="L6" i="1"/>
  <c r="L12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<sst xmlns="http://schemas.openxmlformats.org/spreadsheetml/2006/main" count="2002" uniqueCount="303">
  <si>
    <t>DAILY CHALLENGE OF DAY 4- BASIC EXCEL FORMULA (Part 2)</t>
  </si>
  <si>
    <t>Employee ID</t>
  </si>
  <si>
    <t>Names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</si>
  <si>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</si>
  <si>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</si>
  <si>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</si>
  <si>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</si>
  <si>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</si>
  <si>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</si>
  <si>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</si>
  <si>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</si>
  <si>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Un-known</t>
  </si>
  <si>
    <t>Finance</t>
  </si>
  <si>
    <t>0</t>
  </si>
  <si>
    <t>Unknown</t>
  </si>
  <si>
    <t>invalid_email</t>
  </si>
  <si>
    <t>EMP1001</t>
  </si>
  <si>
    <t>Eve Adams</t>
  </si>
  <si>
    <t>HR</t>
  </si>
  <si>
    <t>Germany</t>
  </si>
  <si>
    <t>Other</t>
  </si>
  <si>
    <t>user106@example.com</t>
  </si>
  <si>
    <t>EMP1002</t>
  </si>
  <si>
    <t>Alice Brown</t>
  </si>
  <si>
    <t>user176@example.com</t>
  </si>
  <si>
    <t>EMP1003</t>
  </si>
  <si>
    <t>John Doe</t>
  </si>
  <si>
    <t>Sales</t>
  </si>
  <si>
    <t>USA</t>
  </si>
  <si>
    <t>Male</t>
  </si>
  <si>
    <t>user168@example.com</t>
  </si>
  <si>
    <t>EMP1004</t>
  </si>
  <si>
    <t>Jane Smith</t>
  </si>
  <si>
    <t>user49@example.com</t>
  </si>
  <si>
    <t>EMP1005</t>
  </si>
  <si>
    <t>IT</t>
  </si>
  <si>
    <t>India</t>
  </si>
  <si>
    <t>Female</t>
  </si>
  <si>
    <t>user24@example.com</t>
  </si>
  <si>
    <t>EMP1006</t>
  </si>
  <si>
    <t>Sam Wilson</t>
  </si>
  <si>
    <t>N/A</t>
  </si>
  <si>
    <t>EMP1007</t>
  </si>
  <si>
    <t>Chris Lee</t>
  </si>
  <si>
    <t>Marketing</t>
  </si>
  <si>
    <t>user26@example.com</t>
  </si>
  <si>
    <t>EMP1008</t>
  </si>
  <si>
    <t>user25@example.com</t>
  </si>
  <si>
    <t>EMP1009</t>
  </si>
  <si>
    <t>UK</t>
  </si>
  <si>
    <t>user153@example.com</t>
  </si>
  <si>
    <t>EMP1010</t>
  </si>
  <si>
    <t>user18@example.com</t>
  </si>
  <si>
    <t>EMP1011</t>
  </si>
  <si>
    <t>user1@example.com</t>
  </si>
  <si>
    <t>EMP1012</t>
  </si>
  <si>
    <t>Bob Johnson</t>
  </si>
  <si>
    <t>EMP1013</t>
  </si>
  <si>
    <t>user180@example.com</t>
  </si>
  <si>
    <t>EMP1014</t>
  </si>
  <si>
    <t>user184@example.com</t>
  </si>
  <si>
    <t>EMP1015</t>
  </si>
  <si>
    <t>user3@example.com</t>
  </si>
  <si>
    <t>EMP1016</t>
  </si>
  <si>
    <t>user64@example.com</t>
  </si>
  <si>
    <t>EMP1017</t>
  </si>
  <si>
    <t>Australia</t>
  </si>
  <si>
    <t>user38@example.com</t>
  </si>
  <si>
    <t>EMP1018</t>
  </si>
  <si>
    <t>user96@example.com</t>
  </si>
  <si>
    <t>EMP1019</t>
  </si>
  <si>
    <t>user151@example.com</t>
  </si>
  <si>
    <t>EMP1020</t>
  </si>
  <si>
    <t>user200@example.com</t>
  </si>
  <si>
    <t>EMP1021</t>
  </si>
  <si>
    <t>user77@example.com</t>
  </si>
  <si>
    <t>EMP1022</t>
  </si>
  <si>
    <t>user128@example.com</t>
  </si>
  <si>
    <t>EMP1023</t>
  </si>
  <si>
    <t>user149@example.com</t>
  </si>
  <si>
    <t>EMP1024</t>
  </si>
  <si>
    <t>user122@example.com</t>
  </si>
  <si>
    <t>EMP1025</t>
  </si>
  <si>
    <t>user41@example.com</t>
  </si>
  <si>
    <t>EMP1026</t>
  </si>
  <si>
    <t>user68@example.com</t>
  </si>
  <si>
    <t>EMP1027</t>
  </si>
  <si>
    <t>user103@example.com</t>
  </si>
  <si>
    <t>EMP1028</t>
  </si>
  <si>
    <t>user135@example.com</t>
  </si>
  <si>
    <t>EMP1029</t>
  </si>
  <si>
    <t>user83@example.com</t>
  </si>
  <si>
    <t>EMP1030</t>
  </si>
  <si>
    <t>user109@example.com</t>
  </si>
  <si>
    <t>EMP1031</t>
  </si>
  <si>
    <t>user143@example.com</t>
  </si>
  <si>
    <t>EMP1032</t>
  </si>
  <si>
    <t>user190@example.com</t>
  </si>
  <si>
    <t>EMP1033</t>
  </si>
  <si>
    <t>user136@example.com</t>
  </si>
  <si>
    <t>EMP1034</t>
  </si>
  <si>
    <t>user198@example.com</t>
  </si>
  <si>
    <t>EMP1035</t>
  </si>
  <si>
    <t>EMP1036</t>
  </si>
  <si>
    <t>user31@example.com</t>
  </si>
  <si>
    <t>EMP1037</t>
  </si>
  <si>
    <t>user98@example.com</t>
  </si>
  <si>
    <t>EMP1038</t>
  </si>
  <si>
    <t>user154@example.com</t>
  </si>
  <si>
    <t>EMP1039</t>
  </si>
  <si>
    <t>user42@example.com</t>
  </si>
  <si>
    <t>EMP1040</t>
  </si>
  <si>
    <t>user89@example.com</t>
  </si>
  <si>
    <t>EMP1041</t>
  </si>
  <si>
    <t>user47@example.com</t>
  </si>
  <si>
    <t>EMP1042</t>
  </si>
  <si>
    <t>user175@example.com</t>
  </si>
  <si>
    <t>EMP1043</t>
  </si>
  <si>
    <t>user57@example.com</t>
  </si>
  <si>
    <t>EMP1044</t>
  </si>
  <si>
    <t>user20@example.com</t>
  </si>
  <si>
    <t>EMP1045</t>
  </si>
  <si>
    <t>EMP1046</t>
  </si>
  <si>
    <t>user199@example.com</t>
  </si>
  <si>
    <t>EMP1047</t>
  </si>
  <si>
    <t>user43@example.com</t>
  </si>
  <si>
    <t>EMP1048</t>
  </si>
  <si>
    <t>EMP1049</t>
  </si>
  <si>
    <t>EMP1050</t>
  </si>
  <si>
    <t>user95@example.com</t>
  </si>
  <si>
    <t>EMP1051</t>
  </si>
  <si>
    <t>user59@example.com</t>
  </si>
  <si>
    <t>EMP1052</t>
  </si>
  <si>
    <t>user152@example.com</t>
  </si>
  <si>
    <t>EMP1053</t>
  </si>
  <si>
    <t>EMP1054</t>
  </si>
  <si>
    <t>user92@example.com</t>
  </si>
  <si>
    <t>EMP1055</t>
  </si>
  <si>
    <t>user50@example.com</t>
  </si>
  <si>
    <t>EMP1056</t>
  </si>
  <si>
    <t>user63@example.com</t>
  </si>
  <si>
    <t>EMP1057</t>
  </si>
  <si>
    <t>EMP1058</t>
  </si>
  <si>
    <t>user150@example.com</t>
  </si>
  <si>
    <t>EMP1059</t>
  </si>
  <si>
    <t>EMP1060</t>
  </si>
  <si>
    <t>user112@example.com</t>
  </si>
  <si>
    <t>EMP1061</t>
  </si>
  <si>
    <t>EMP1062</t>
  </si>
  <si>
    <t>user71@example.com</t>
  </si>
  <si>
    <t>EMP1063</t>
  </si>
  <si>
    <t>user97@example.com</t>
  </si>
  <si>
    <t>EMP1064</t>
  </si>
  <si>
    <t>user141@example.com</t>
  </si>
  <si>
    <t>EMP1065</t>
  </si>
  <si>
    <t>user125@example.com</t>
  </si>
  <si>
    <t>EMP1066</t>
  </si>
  <si>
    <t>user90@example.com</t>
  </si>
  <si>
    <t>EMP1067</t>
  </si>
  <si>
    <t>user192@example.com</t>
  </si>
  <si>
    <t>EMP1068</t>
  </si>
  <si>
    <t>EMP1069</t>
  </si>
  <si>
    <t>user65@example.com</t>
  </si>
  <si>
    <t>EMP1070</t>
  </si>
  <si>
    <t>EMP1071</t>
  </si>
  <si>
    <t>user142@example.com</t>
  </si>
  <si>
    <t>EMP1072</t>
  </si>
  <si>
    <t>EMP1073</t>
  </si>
  <si>
    <t>EMP1074</t>
  </si>
  <si>
    <t>EMP1075</t>
  </si>
  <si>
    <t>user17@example.com</t>
  </si>
  <si>
    <t>EMP1076</t>
  </si>
  <si>
    <t>EMP1077</t>
  </si>
  <si>
    <t>user22@example.com</t>
  </si>
  <si>
    <t>EMP1078</t>
  </si>
  <si>
    <t>user46@example.com</t>
  </si>
  <si>
    <t>EMP1079</t>
  </si>
  <si>
    <t>user55@example.com</t>
  </si>
  <si>
    <t>EMP1080</t>
  </si>
  <si>
    <t>EMP1081</t>
  </si>
  <si>
    <t>user156@example.com</t>
  </si>
  <si>
    <t>EMP1082</t>
  </si>
  <si>
    <t>user104@example.com</t>
  </si>
  <si>
    <t>EMP1083</t>
  </si>
  <si>
    <t>user145@example.com</t>
  </si>
  <si>
    <t>EMP1084</t>
  </si>
  <si>
    <t>EMP1085</t>
  </si>
  <si>
    <t>user197@example.com</t>
  </si>
  <si>
    <t>EMP1086</t>
  </si>
  <si>
    <t>user177@example.com</t>
  </si>
  <si>
    <t>EMP1087</t>
  </si>
  <si>
    <t>EMP1088</t>
  </si>
  <si>
    <t>user48@example.com</t>
  </si>
  <si>
    <t>EMP1089</t>
  </si>
  <si>
    <t>EMP1090</t>
  </si>
  <si>
    <t>EMP1091</t>
  </si>
  <si>
    <t>EMP1092</t>
  </si>
  <si>
    <t>EMP1093</t>
  </si>
  <si>
    <t>user102@example.com</t>
  </si>
  <si>
    <t>EMP1094</t>
  </si>
  <si>
    <t>user148@example.com</t>
  </si>
  <si>
    <t>EMP1095</t>
  </si>
  <si>
    <t>user155@example.com</t>
  </si>
  <si>
    <t>EMP1096</t>
  </si>
  <si>
    <t>user191@example.com</t>
  </si>
  <si>
    <t>EMP1097</t>
  </si>
  <si>
    <t>user113@example.com</t>
  </si>
  <si>
    <t>EMP1098</t>
  </si>
  <si>
    <t>user62@example.com</t>
  </si>
  <si>
    <t>EMP1099</t>
  </si>
  <si>
    <t>user76@example.com</t>
  </si>
  <si>
    <t>EMP1100</t>
  </si>
  <si>
    <t>user40@example.com</t>
  </si>
  <si>
    <t>EMP1101</t>
  </si>
  <si>
    <t>EMP1102</t>
  </si>
  <si>
    <t>user54@example.com</t>
  </si>
  <si>
    <t>EMP1103</t>
  </si>
  <si>
    <t>EMP1104</t>
  </si>
  <si>
    <t>EMP1105</t>
  </si>
  <si>
    <t>EMP1106</t>
  </si>
  <si>
    <t>user189@example.com</t>
  </si>
  <si>
    <t>EMP1107</t>
  </si>
  <si>
    <t>EMP1108</t>
  </si>
  <si>
    <t>user93@example.com</t>
  </si>
  <si>
    <t>EMP1109</t>
  </si>
  <si>
    <t>user174@example.com</t>
  </si>
  <si>
    <t>EMP1110</t>
  </si>
  <si>
    <t>user44@example.com</t>
  </si>
  <si>
    <t>EMP1111</t>
  </si>
  <si>
    <t>EMP1112</t>
  </si>
  <si>
    <t>EMP1113</t>
  </si>
  <si>
    <t>user82@example.com</t>
  </si>
  <si>
    <t>EMP1114</t>
  </si>
  <si>
    <t>EMP1115</t>
  </si>
  <si>
    <t>EMP1116</t>
  </si>
  <si>
    <t>EMP1117</t>
  </si>
  <si>
    <t>user137@example.com</t>
  </si>
  <si>
    <t>EMP1118</t>
  </si>
  <si>
    <t>user23@example.com</t>
  </si>
  <si>
    <t>EMP1119</t>
  </si>
  <si>
    <t>EMP1120</t>
  </si>
  <si>
    <t>user101@example.com</t>
  </si>
  <si>
    <t>EMP1121</t>
  </si>
  <si>
    <t>user132@example.com</t>
  </si>
  <si>
    <t>EMP1122</t>
  </si>
  <si>
    <t>user171@example.com</t>
  </si>
  <si>
    <t>EMP1123</t>
  </si>
  <si>
    <t>EMP1124</t>
  </si>
  <si>
    <t>user75@example.com</t>
  </si>
  <si>
    <t>EMP1125</t>
  </si>
  <si>
    <t>user52@example.com</t>
  </si>
  <si>
    <t>EMP1126</t>
  </si>
  <si>
    <t>user100@example.com</t>
  </si>
  <si>
    <t>EMP1127</t>
  </si>
  <si>
    <t>EMP1128</t>
  </si>
  <si>
    <t>user167@example.com</t>
  </si>
  <si>
    <t>EMP1129</t>
  </si>
  <si>
    <t>EMP1130</t>
  </si>
  <si>
    <t>EMP1131</t>
  </si>
  <si>
    <t>EMP1132</t>
  </si>
  <si>
    <t>user188@example.com</t>
  </si>
  <si>
    <t>EMP1133</t>
  </si>
  <si>
    <t>EMP1134</t>
  </si>
  <si>
    <t>EMP1135</t>
  </si>
  <si>
    <t>EMP1136</t>
  </si>
  <si>
    <t>EMP1137</t>
  </si>
  <si>
    <t>user165@example.com</t>
  </si>
  <si>
    <t>EMP1138</t>
  </si>
  <si>
    <t>EMP1139</t>
  </si>
  <si>
    <t>EMP1140</t>
  </si>
  <si>
    <t>EMP1141</t>
  </si>
  <si>
    <t>EMP1142</t>
  </si>
  <si>
    <t>EMP1143</t>
  </si>
  <si>
    <t>user114@example.com</t>
  </si>
  <si>
    <t>EMP1144</t>
  </si>
  <si>
    <t>user53@example.com</t>
  </si>
  <si>
    <t>EMP1145</t>
  </si>
  <si>
    <t>EMP1146</t>
  </si>
  <si>
    <t>EMP1147</t>
  </si>
  <si>
    <t>user163@example.com</t>
  </si>
  <si>
    <t>EMP1148</t>
  </si>
  <si>
    <t>EMP1149</t>
  </si>
  <si>
    <t>user30@example.com</t>
  </si>
  <si>
    <t>Utilized COUNTIF() &amp; COUNTIFS()</t>
  </si>
  <si>
    <t>Utilized SUMIFS() &amp; SUMIF()</t>
  </si>
  <si>
    <t>No. of Employees by Gender category across Performance rating within each Department</t>
  </si>
  <si>
    <t>Total Salary by gender category across different Department</t>
  </si>
  <si>
    <t>PERFORMANCE RATING</t>
  </si>
  <si>
    <t>FINANCE</t>
  </si>
  <si>
    <t>DEPATRMENT</t>
  </si>
  <si>
    <t>SALARY</t>
  </si>
  <si>
    <t>Department wise Total Salary</t>
  </si>
  <si>
    <t>Total Salary</t>
  </si>
  <si>
    <t>Total Employee in Department</t>
  </si>
  <si>
    <t>Average Salary by gender category across different Department</t>
  </si>
  <si>
    <t>Department wise Average Salary</t>
  </si>
  <si>
    <t>Total Employee in Finance Department</t>
  </si>
  <si>
    <t>No. of Employees by Gender category across different Countries within each Department</t>
  </si>
  <si>
    <t>COUNTRY</t>
  </si>
  <si>
    <t>DEPARTMENTS</t>
  </si>
  <si>
    <t>Total Employee in  each Country</t>
  </si>
  <si>
    <t>SALES</t>
  </si>
  <si>
    <t>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</si>
</sst>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_ ;_-[$$-409]* \-#,##0\ ;_-[$$-409]* &quot;-&quot;??_ ;_-@_ "/>
    <numFmt numFmtId="165" formatCode="_ &quot;₹&quot;\ * #,##0_ ;_ &quot;₹&quot;\ * \-#,##0_ ;_ &quot;₹&quot;\ * &quot;-&quot;??_ ;_ @_ "/>
    <numFmt numFmtId="168" formatCode="_([$$-409]* #,##0_);_([$$-409]* \(#,##0\);_([$$-409]* &quot;-&quot;??_);_(@_)"/>
  </numFmts>
  <fonts count="6">
    <font>
      <sz val="11"/>
      <color theme="1"/>
      <name val="Calibri"/>
      <family val="2"/>
      <scheme val="minor"/>
    </font>
    <font>
      <b/>
      <sz val="11"/>
      <color rgb="FFFA7D00"/>
      <name val="Calibri"/>
      <scheme val="minor"/>
    </font>
    <font>
      <b/>
      <sz val="12"/>
      <color theme="1" tint="4.9989318521683403E-2"/>
      <name val="Aptos Narrow"/>
      <family val="2"/>
      <scheme val="minor"/>
    </font>
    <font>
      <sz val="11"/>
      <color rgb="FF242424"/>
      <name val="Aptos Narrow"/>
      <charset val="1"/>
    </font>
    <font>
      <sz val="14"/>
      <color theme="1"/>
      <name val="Calibri"/>
      <family val="2"/>
      <scheme val="minor"/>
    </font>
    <font>
      <b/>
      <sz val="11"/>
      <color theme="1" tint="4.9989318521683403E-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2" tint="-0.749992370372631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/>
      <right style="thin">
        <color theme="2" tint="-0.749992370372631"/>
      </right>
      <top style="thin">
        <color theme="1" tint="0.34998626667073579"/>
      </top>
      <bottom/>
      <diagonal/>
    </border>
    <border>
      <left style="thin">
        <color theme="2" tint="-0.749992370372631"/>
      </left>
      <right/>
      <top style="thin">
        <color theme="1" tint="0.34998626667073579"/>
      </top>
      <bottom style="thin">
        <color theme="2" tint="-0.749992370372631"/>
      </bottom>
      <diagonal/>
    </border>
    <border>
      <left/>
      <right/>
      <top style="thin">
        <color theme="1" tint="0.34998626667073579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1" tint="0.34998626667073579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000000"/>
      </top>
      <bottom/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/>
      <bottom/>
      <diagonal/>
    </border>
    <border>
      <left style="thin">
        <color rgb="FF000000"/>
      </left>
      <right style="thin">
        <color rgb="FF7F7F7F"/>
      </right>
      <top/>
      <bottom style="thin">
        <color rgb="FF7F7F7F"/>
      </bottom>
      <diagonal/>
    </border>
    <border>
      <left/>
      <right/>
      <top/>
      <bottom style="thin">
        <color theme="2" tint="-0.749992370372631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22">
    <xf numFmtId="0" fontId="0" fillId="0" borderId="0" xfId="0"/>
    <xf numFmtId="0" fontId="0" fillId="0" borderId="2" xfId="0" applyBorder="1"/>
    <xf numFmtId="0" fontId="0" fillId="0" borderId="3" xfId="0" applyBorder="1"/>
    <xf numFmtId="164" fontId="0" fillId="0" borderId="3" xfId="0" applyNumberFormat="1" applyBorder="1" applyAlignment="1">
      <alignment horizontal="right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6" xfId="0" applyNumberFormat="1" applyBorder="1" applyAlignment="1">
      <alignment horizontal="right"/>
    </xf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/>
    <xf numFmtId="49" fontId="2" fillId="3" borderId="8" xfId="0" applyNumberFormat="1" applyFont="1" applyFill="1" applyBorder="1" applyAlignment="1">
      <alignment horizontal="center" vertical="center" wrapText="1"/>
    </xf>
    <xf numFmtId="49" fontId="2" fillId="3" borderId="9" xfId="0" applyNumberFormat="1" applyFont="1" applyFill="1" applyBorder="1" applyAlignment="1">
      <alignment horizontal="center" vertical="center" wrapText="1"/>
    </xf>
    <xf numFmtId="165" fontId="2" fillId="3" borderId="9" xfId="0" applyNumberFormat="1" applyFont="1" applyFill="1" applyBorder="1" applyAlignment="1">
      <alignment horizontal="center" vertical="center" wrapText="1"/>
    </xf>
    <xf numFmtId="14" fontId="2" fillId="3" borderId="9" xfId="0" applyNumberFormat="1" applyFont="1" applyFill="1" applyBorder="1" applyAlignment="1">
      <alignment horizontal="center" vertical="center" wrapText="1"/>
    </xf>
    <xf numFmtId="2" fontId="2" fillId="3" borderId="9" xfId="0" applyNumberFormat="1" applyFont="1" applyFill="1" applyBorder="1" applyAlignment="1">
      <alignment horizontal="center" vertical="center" wrapText="1"/>
    </xf>
    <xf numFmtId="49" fontId="2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12" xfId="0" applyBorder="1"/>
    <xf numFmtId="0" fontId="0" fillId="0" borderId="0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2" fontId="2" fillId="3" borderId="17" xfId="0" applyNumberFormat="1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2" fontId="2" fillId="3" borderId="22" xfId="0" applyNumberFormat="1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17" xfId="0" applyBorder="1"/>
    <xf numFmtId="0" fontId="0" fillId="0" borderId="25" xfId="0" applyBorder="1"/>
    <xf numFmtId="0" fontId="0" fillId="0" borderId="25" xfId="0" applyBorder="1" applyAlignment="1">
      <alignment horizontal="right"/>
    </xf>
    <xf numFmtId="0" fontId="0" fillId="0" borderId="24" xfId="0" applyBorder="1" applyAlignment="1">
      <alignment horizontal="center"/>
    </xf>
    <xf numFmtId="2" fontId="2" fillId="3" borderId="20" xfId="0" applyNumberFormat="1" applyFont="1" applyFill="1" applyBorder="1" applyAlignment="1">
      <alignment horizontal="center" vertical="center" wrapText="1"/>
    </xf>
    <xf numFmtId="0" fontId="1" fillId="2" borderId="26" xfId="1" applyBorder="1" applyAlignment="1">
      <alignment horizontal="center" vertical="top" wrapText="1"/>
    </xf>
    <xf numFmtId="0" fontId="1" fillId="2" borderId="27" xfId="1" applyBorder="1" applyAlignment="1">
      <alignment horizontal="center" vertical="top" wrapText="1"/>
    </xf>
    <xf numFmtId="0" fontId="1" fillId="2" borderId="26" xfId="1" applyBorder="1" applyAlignment="1">
      <alignment horizontal="center" vertical="center"/>
    </xf>
    <xf numFmtId="0" fontId="1" fillId="2" borderId="27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Border="1"/>
    <xf numFmtId="0" fontId="0" fillId="0" borderId="22" xfId="0" applyBorder="1"/>
    <xf numFmtId="0" fontId="0" fillId="0" borderId="23" xfId="0" applyBorder="1"/>
    <xf numFmtId="0" fontId="0" fillId="0" borderId="0" xfId="0" applyBorder="1"/>
    <xf numFmtId="0" fontId="0" fillId="0" borderId="13" xfId="0" applyBorder="1"/>
    <xf numFmtId="0" fontId="0" fillId="0" borderId="14" xfId="0" applyBorder="1"/>
    <xf numFmtId="0" fontId="1" fillId="2" borderId="29" xfId="1" applyBorder="1" applyAlignment="1">
      <alignment horizontal="center"/>
    </xf>
    <xf numFmtId="2" fontId="2" fillId="3" borderId="25" xfId="0" applyNumberFormat="1" applyFont="1" applyFill="1" applyBorder="1" applyAlignment="1">
      <alignment horizontal="center" vertical="center" wrapText="1"/>
    </xf>
    <xf numFmtId="0" fontId="3" fillId="0" borderId="11" xfId="0" applyFont="1" applyBorder="1"/>
    <xf numFmtId="0" fontId="0" fillId="0" borderId="19" xfId="0" applyBorder="1"/>
    <xf numFmtId="0" fontId="0" fillId="0" borderId="24" xfId="0" applyBorder="1"/>
    <xf numFmtId="0" fontId="0" fillId="0" borderId="20" xfId="0" applyBorder="1"/>
    <xf numFmtId="2" fontId="2" fillId="3" borderId="30" xfId="0" applyNumberFormat="1" applyFont="1" applyFill="1" applyBorder="1" applyAlignment="1">
      <alignment horizontal="center" vertical="center" wrapText="1"/>
    </xf>
    <xf numFmtId="0" fontId="3" fillId="0" borderId="19" xfId="0" applyFont="1" applyBorder="1"/>
    <xf numFmtId="0" fontId="0" fillId="0" borderId="21" xfId="0" applyBorder="1"/>
    <xf numFmtId="0" fontId="1" fillId="2" borderId="31" xfId="1" applyBorder="1" applyAlignment="1">
      <alignment horizontal="center"/>
    </xf>
    <xf numFmtId="0" fontId="3" fillId="0" borderId="24" xfId="0" applyFont="1" applyBorder="1"/>
    <xf numFmtId="0" fontId="1" fillId="2" borderId="32" xfId="1" applyBorder="1" applyAlignment="1">
      <alignment horizontal="left" vertical="top" wrapText="1"/>
    </xf>
    <xf numFmtId="0" fontId="1" fillId="2" borderId="28" xfId="1" applyBorder="1" applyAlignment="1">
      <alignment horizontal="left" vertical="top" wrapText="1"/>
    </xf>
    <xf numFmtId="168" fontId="0" fillId="0" borderId="0" xfId="0" applyNumberFormat="1"/>
    <xf numFmtId="168" fontId="1" fillId="2" borderId="1" xfId="1" applyNumberFormat="1"/>
    <xf numFmtId="0" fontId="3" fillId="0" borderId="24" xfId="0" applyFont="1" applyBorder="1" applyAlignment="1">
      <alignment horizontal="center" wrapText="1"/>
    </xf>
    <xf numFmtId="168" fontId="0" fillId="0" borderId="0" xfId="0" applyNumberFormat="1" applyAlignment="1">
      <alignment horizontal="right"/>
    </xf>
    <xf numFmtId="0" fontId="1" fillId="2" borderId="27" xfId="1" applyBorder="1" applyAlignment="1">
      <alignment wrapText="1"/>
    </xf>
    <xf numFmtId="168" fontId="0" fillId="0" borderId="25" xfId="0" applyNumberFormat="1" applyBorder="1"/>
    <xf numFmtId="168" fontId="0" fillId="0" borderId="18" xfId="0" applyNumberFormat="1" applyBorder="1"/>
    <xf numFmtId="0" fontId="3" fillId="0" borderId="12" xfId="0" applyFont="1" applyBorder="1"/>
    <xf numFmtId="0" fontId="0" fillId="0" borderId="12" xfId="0" applyBorder="1" applyAlignment="1">
      <alignment vertical="center"/>
    </xf>
    <xf numFmtId="168" fontId="1" fillId="2" borderId="27" xfId="1" applyNumberFormat="1" applyBorder="1"/>
    <xf numFmtId="168" fontId="0" fillId="0" borderId="24" xfId="0" applyNumberFormat="1" applyBorder="1"/>
    <xf numFmtId="168" fontId="0" fillId="0" borderId="20" xfId="0" applyNumberFormat="1" applyBorder="1"/>
    <xf numFmtId="168" fontId="1" fillId="2" borderId="29" xfId="1" applyNumberFormat="1" applyBorder="1"/>
    <xf numFmtId="168" fontId="0" fillId="0" borderId="17" xfId="0" applyNumberFormat="1" applyBorder="1"/>
    <xf numFmtId="168" fontId="0" fillId="0" borderId="22" xfId="0" applyNumberFormat="1" applyBorder="1"/>
    <xf numFmtId="168" fontId="0" fillId="0" borderId="11" xfId="0" applyNumberFormat="1" applyBorder="1"/>
    <xf numFmtId="168" fontId="0" fillId="0" borderId="19" xfId="0" applyNumberFormat="1" applyBorder="1"/>
    <xf numFmtId="168" fontId="0" fillId="0" borderId="15" xfId="0" applyNumberFormat="1" applyBorder="1"/>
    <xf numFmtId="0" fontId="0" fillId="0" borderId="17" xfId="0" applyBorder="1" applyAlignment="1">
      <alignment horizontal="center"/>
    </xf>
    <xf numFmtId="168" fontId="1" fillId="2" borderId="33" xfId="1" applyNumberFormat="1" applyBorder="1"/>
    <xf numFmtId="168" fontId="1" fillId="2" borderId="34" xfId="1" applyNumberFormat="1" applyBorder="1"/>
    <xf numFmtId="168" fontId="0" fillId="0" borderId="11" xfId="0" applyNumberFormat="1" applyBorder="1" applyAlignment="1">
      <alignment horizontal="right"/>
    </xf>
    <xf numFmtId="168" fontId="0" fillId="0" borderId="19" xfId="0" applyNumberFormat="1" applyBorder="1" applyAlignment="1">
      <alignment horizontal="right"/>
    </xf>
    <xf numFmtId="168" fontId="0" fillId="0" borderId="15" xfId="0" applyNumberFormat="1" applyBorder="1" applyAlignment="1">
      <alignment horizontal="right"/>
    </xf>
    <xf numFmtId="168" fontId="1" fillId="2" borderId="36" xfId="1" applyNumberFormat="1" applyBorder="1" applyAlignment="1">
      <alignment horizontal="left" vertical="top" wrapText="1"/>
    </xf>
    <xf numFmtId="2" fontId="2" fillId="4" borderId="19" xfId="0" applyNumberFormat="1" applyFont="1" applyFill="1" applyBorder="1" applyAlignment="1">
      <alignment horizontal="center" vertical="center" wrapText="1"/>
    </xf>
    <xf numFmtId="2" fontId="2" fillId="4" borderId="20" xfId="0" applyNumberFormat="1" applyFont="1" applyFill="1" applyBorder="1" applyAlignment="1">
      <alignment horizontal="center" vertical="center" wrapText="1"/>
    </xf>
    <xf numFmtId="2" fontId="2" fillId="4" borderId="21" xfId="0" applyNumberFormat="1" applyFont="1" applyFill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/>
    </xf>
    <xf numFmtId="2" fontId="5" fillId="3" borderId="17" xfId="0" applyNumberFormat="1" applyFont="1" applyFill="1" applyBorder="1" applyAlignment="1">
      <alignment horizontal="center" vertical="center" wrapText="1"/>
    </xf>
    <xf numFmtId="2" fontId="5" fillId="3" borderId="18" xfId="0" applyNumberFormat="1" applyFont="1" applyFill="1" applyBorder="1" applyAlignment="1">
      <alignment horizontal="center" vertical="center" wrapText="1"/>
    </xf>
    <xf numFmtId="2" fontId="5" fillId="3" borderId="19" xfId="0" applyNumberFormat="1" applyFont="1" applyFill="1" applyBorder="1" applyAlignment="1">
      <alignment horizontal="center" vertical="center" wrapText="1"/>
    </xf>
    <xf numFmtId="2" fontId="5" fillId="3" borderId="20" xfId="0" applyNumberFormat="1" applyFont="1" applyFill="1" applyBorder="1" applyAlignment="1">
      <alignment horizontal="center" vertical="center" wrapText="1"/>
    </xf>
    <xf numFmtId="2" fontId="5" fillId="3" borderId="21" xfId="0" applyNumberFormat="1" applyFont="1" applyFill="1" applyBorder="1" applyAlignment="1">
      <alignment horizontal="center" vertical="center" wrapText="1"/>
    </xf>
    <xf numFmtId="2" fontId="5" fillId="3" borderId="25" xfId="0" applyNumberFormat="1" applyFont="1" applyFill="1" applyBorder="1" applyAlignment="1">
      <alignment horizontal="center" vertical="center" wrapText="1"/>
    </xf>
    <xf numFmtId="2" fontId="2" fillId="4" borderId="11" xfId="0" applyNumberFormat="1" applyFont="1" applyFill="1" applyBorder="1" applyAlignment="1">
      <alignment horizontal="center" vertical="center" wrapText="1"/>
    </xf>
    <xf numFmtId="2" fontId="2" fillId="4" borderId="22" xfId="0" applyNumberFormat="1" applyFont="1" applyFill="1" applyBorder="1" applyAlignment="1">
      <alignment horizontal="center" vertical="center" wrapText="1"/>
    </xf>
    <xf numFmtId="2" fontId="2" fillId="4" borderId="23" xfId="0" applyNumberFormat="1" applyFont="1" applyFill="1" applyBorder="1" applyAlignment="1">
      <alignment horizontal="center" vertical="center" wrapText="1"/>
    </xf>
    <xf numFmtId="2" fontId="2" fillId="4" borderId="14" xfId="0" applyNumberFormat="1" applyFont="1" applyFill="1" applyBorder="1" applyAlignment="1">
      <alignment horizontal="center" vertical="center" wrapText="1"/>
    </xf>
    <xf numFmtId="2" fontId="2" fillId="4" borderId="15" xfId="0" applyNumberFormat="1" applyFont="1" applyFill="1" applyBorder="1" applyAlignment="1">
      <alignment horizontal="center" vertical="center" wrapText="1"/>
    </xf>
    <xf numFmtId="2" fontId="2" fillId="4" borderId="16" xfId="0" applyNumberFormat="1" applyFont="1" applyFill="1" applyBorder="1" applyAlignment="1">
      <alignment horizontal="center" vertical="center" wrapText="1"/>
    </xf>
    <xf numFmtId="2" fontId="5" fillId="3" borderId="14" xfId="0" applyNumberFormat="1" applyFont="1" applyFill="1" applyBorder="1" applyAlignment="1">
      <alignment horizontal="center" vertical="center" wrapText="1"/>
    </xf>
    <xf numFmtId="2" fontId="5" fillId="3" borderId="15" xfId="0" applyNumberFormat="1" applyFont="1" applyFill="1" applyBorder="1" applyAlignment="1">
      <alignment horizontal="center" vertical="center" wrapText="1"/>
    </xf>
    <xf numFmtId="2" fontId="5" fillId="3" borderId="16" xfId="0" applyNumberFormat="1" applyFont="1" applyFill="1" applyBorder="1" applyAlignment="1">
      <alignment horizontal="center" vertical="center" wrapText="1"/>
    </xf>
    <xf numFmtId="168" fontId="1" fillId="2" borderId="35" xfId="1" applyNumberFormat="1" applyBorder="1" applyAlignment="1">
      <alignment horizontal="left" vertical="top" wrapText="1"/>
    </xf>
    <xf numFmtId="0" fontId="0" fillId="0" borderId="20" xfId="0" applyFill="1" applyBorder="1" applyAlignment="1">
      <alignment horizontal="center" wrapText="1"/>
    </xf>
    <xf numFmtId="0" fontId="0" fillId="0" borderId="19" xfId="0" applyFill="1" applyBorder="1" applyAlignment="1">
      <alignment horizontal="center" wrapText="1"/>
    </xf>
    <xf numFmtId="0" fontId="0" fillId="0" borderId="21" xfId="0" applyFill="1" applyBorder="1" applyAlignment="1">
      <alignment horizontal="center" wrapText="1"/>
    </xf>
    <xf numFmtId="0" fontId="0" fillId="0" borderId="15" xfId="0" applyBorder="1" applyAlignment="1">
      <alignment horizontal="center" vertical="center"/>
    </xf>
    <xf numFmtId="0" fontId="0" fillId="0" borderId="0" xfId="0" applyBorder="1" applyAlignment="1">
      <alignment horizontal="center" wrapText="1"/>
    </xf>
    <xf numFmtId="2" fontId="5" fillId="3" borderId="22" xfId="0" applyNumberFormat="1" applyFont="1" applyFill="1" applyBorder="1" applyAlignment="1">
      <alignment horizontal="center" vertical="center" wrapText="1"/>
    </xf>
    <xf numFmtId="2" fontId="5" fillId="3" borderId="23" xfId="0" applyNumberFormat="1" applyFont="1" applyFill="1" applyBorder="1" applyAlignment="1">
      <alignment horizontal="center" vertical="center" wrapText="1"/>
    </xf>
    <xf numFmtId="168" fontId="1" fillId="2" borderId="17" xfId="1" applyNumberFormat="1" applyBorder="1" applyAlignment="1">
      <alignment horizontal="center" wrapText="1"/>
    </xf>
    <xf numFmtId="168" fontId="1" fillId="2" borderId="18" xfId="1" applyNumberFormat="1" applyBorder="1" applyAlignment="1">
      <alignment horizontal="center" wrapText="1"/>
    </xf>
    <xf numFmtId="168" fontId="0" fillId="0" borderId="0" xfId="0" applyNumberFormat="1" applyBorder="1"/>
    <xf numFmtId="168" fontId="0" fillId="0" borderId="12" xfId="0" applyNumberFormat="1" applyBorder="1"/>
    <xf numFmtId="168" fontId="1" fillId="2" borderId="31" xfId="1" applyNumberFormat="1" applyBorder="1"/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y3_Data%20Imputation%20&amp;%20Basic%20Formula%20Part1_Employee%20Datas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y3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A36A-F458-4F4D-BB30-34FAE15B8D4D}">
  <dimension ref="A1:I152"/>
  <sheetViews>
    <sheetView workbookViewId="0">
      <selection activeCell="S72" sqref="S72"/>
    </sheetView>
  </sheetViews>
  <sheetFormatPr defaultRowHeight="15"/>
  <cols>
    <col min="1" max="1" width="12.42578125" customWidth="1"/>
    <col min="2" max="2" width="10.7109375" bestFit="1" customWidth="1"/>
    <col min="3" max="3" width="12.7109375" customWidth="1"/>
    <col min="4" max="4" width="9.85546875" bestFit="1" customWidth="1"/>
    <col min="6" max="6" width="14.28515625" customWidth="1"/>
    <col min="7" max="7" width="14" customWidth="1"/>
    <col min="8" max="8" width="11.85546875" customWidth="1"/>
    <col min="9" max="9" width="21.5703125" bestFit="1" customWidth="1"/>
    <col min="11" max="11" width="18.28515625" customWidth="1"/>
    <col min="12" max="12" width="7.28515625" customWidth="1"/>
    <col min="13" max="13" width="6.85546875" customWidth="1"/>
    <col min="14" max="14" width="6.28515625" customWidth="1"/>
    <col min="15" max="15" width="8.42578125" customWidth="1"/>
    <col min="16" max="16" width="9.28515625" customWidth="1"/>
    <col min="17" max="17" width="9.140625" customWidth="1"/>
    <col min="18" max="18" width="6.140625" customWidth="1"/>
    <col min="19" max="19" width="13.140625" customWidth="1"/>
    <col min="20" max="20" width="13.42578125" customWidth="1"/>
    <col min="21" max="21" width="11.7109375" customWidth="1"/>
    <col min="22" max="22" width="11.28515625" customWidth="1"/>
    <col min="23" max="23" width="10.28515625" customWidth="1"/>
    <col min="24" max="24" width="11.85546875" customWidth="1"/>
    <col min="25" max="25" width="16.140625" customWidth="1"/>
    <col min="26" max="26" width="9.85546875" bestFit="1" customWidth="1"/>
    <col min="27" max="27" width="11" customWidth="1"/>
    <col min="28" max="28" width="15.28515625" customWidth="1"/>
  </cols>
  <sheetData>
    <row r="1" spans="1:9" ht="26.25" customHeight="1">
      <c r="A1" s="88" t="s">
        <v>0</v>
      </c>
      <c r="B1" s="88"/>
      <c r="C1" s="88"/>
      <c r="D1" s="88"/>
      <c r="E1" s="88"/>
      <c r="F1" s="88"/>
      <c r="G1" s="88"/>
      <c r="H1" s="88"/>
      <c r="I1" s="88"/>
    </row>
    <row r="2" spans="1:9" ht="30.75" customHeight="1">
      <c r="A2" s="13" t="s">
        <v>1</v>
      </c>
      <c r="B2" s="14" t="s">
        <v>2</v>
      </c>
      <c r="C2" s="14" t="s">
        <v>3</v>
      </c>
      <c r="D2" s="14" t="s">
        <v>4</v>
      </c>
      <c r="E2" s="15" t="s">
        <v>5</v>
      </c>
      <c r="F2" s="16" t="s">
        <v>6</v>
      </c>
      <c r="G2" s="17" t="s">
        <v>7</v>
      </c>
      <c r="H2" s="14" t="s">
        <v>8</v>
      </c>
      <c r="I2" s="18" t="s">
        <v>9</v>
      </c>
    </row>
    <row r="3" spans="1:9" ht="15" customHeight="1">
      <c r="A3" s="1" t="s">
        <v>10</v>
      </c>
      <c r="B3" s="2" t="s">
        <v>11</v>
      </c>
      <c r="C3" s="2" t="s">
        <v>12</v>
      </c>
      <c r="D3" s="2" t="s">
        <v>11</v>
      </c>
      <c r="E3" s="3" t="s">
        <v>13</v>
      </c>
      <c r="F3" s="4" t="s">
        <v>11</v>
      </c>
      <c r="G3" s="5">
        <v>2</v>
      </c>
      <c r="H3" s="2" t="s">
        <v>14</v>
      </c>
      <c r="I3" s="6" t="s">
        <v>15</v>
      </c>
    </row>
    <row r="4" spans="1:9" ht="15.75" customHeight="1">
      <c r="A4" s="1" t="s">
        <v>16</v>
      </c>
      <c r="B4" s="2" t="s">
        <v>17</v>
      </c>
      <c r="C4" s="2" t="s">
        <v>18</v>
      </c>
      <c r="D4" s="2" t="s">
        <v>19</v>
      </c>
      <c r="E4" s="3">
        <v>54255</v>
      </c>
      <c r="F4" s="4">
        <v>42015</v>
      </c>
      <c r="G4" s="5">
        <v>1</v>
      </c>
      <c r="H4" s="2" t="s">
        <v>20</v>
      </c>
      <c r="I4" s="6" t="s">
        <v>21</v>
      </c>
    </row>
    <row r="5" spans="1:9" ht="16.5" customHeight="1">
      <c r="A5" s="1" t="s">
        <v>22</v>
      </c>
      <c r="B5" s="2" t="s">
        <v>23</v>
      </c>
      <c r="C5" s="2" t="s">
        <v>12</v>
      </c>
      <c r="D5" s="2" t="s">
        <v>19</v>
      </c>
      <c r="E5" s="3">
        <v>63184</v>
      </c>
      <c r="F5" s="4">
        <v>42022</v>
      </c>
      <c r="G5" s="5">
        <v>2</v>
      </c>
      <c r="H5" s="2" t="s">
        <v>11</v>
      </c>
      <c r="I5" s="6" t="s">
        <v>24</v>
      </c>
    </row>
    <row r="6" spans="1:9">
      <c r="A6" s="1" t="s">
        <v>25</v>
      </c>
      <c r="B6" s="2" t="s">
        <v>26</v>
      </c>
      <c r="C6" s="2" t="s">
        <v>27</v>
      </c>
      <c r="D6" s="2" t="s">
        <v>28</v>
      </c>
      <c r="E6" s="3">
        <v>94406</v>
      </c>
      <c r="F6" s="4">
        <v>42029</v>
      </c>
      <c r="G6" s="5">
        <v>1</v>
      </c>
      <c r="H6" s="2" t="s">
        <v>29</v>
      </c>
      <c r="I6" s="6" t="s">
        <v>30</v>
      </c>
    </row>
    <row r="7" spans="1:9">
      <c r="A7" s="1" t="s">
        <v>31</v>
      </c>
      <c r="B7" s="2" t="s">
        <v>32</v>
      </c>
      <c r="C7" s="2" t="s">
        <v>27</v>
      </c>
      <c r="D7" s="2" t="s">
        <v>19</v>
      </c>
      <c r="E7" s="3">
        <v>64120</v>
      </c>
      <c r="F7" s="4">
        <v>42036</v>
      </c>
      <c r="G7" s="5">
        <v>1</v>
      </c>
      <c r="H7" s="2" t="s">
        <v>29</v>
      </c>
      <c r="I7" s="6" t="s">
        <v>33</v>
      </c>
    </row>
    <row r="8" spans="1:9">
      <c r="A8" s="1" t="s">
        <v>34</v>
      </c>
      <c r="B8" s="2" t="s">
        <v>23</v>
      </c>
      <c r="C8" s="2" t="s">
        <v>35</v>
      </c>
      <c r="D8" s="2" t="s">
        <v>36</v>
      </c>
      <c r="E8" s="3">
        <v>78421</v>
      </c>
      <c r="F8" s="4">
        <v>42043</v>
      </c>
      <c r="G8" s="5">
        <v>2</v>
      </c>
      <c r="H8" s="2" t="s">
        <v>37</v>
      </c>
      <c r="I8" s="6" t="s">
        <v>38</v>
      </c>
    </row>
    <row r="9" spans="1:9">
      <c r="A9" s="1" t="s">
        <v>39</v>
      </c>
      <c r="B9" s="2" t="s">
        <v>40</v>
      </c>
      <c r="C9" s="2" t="s">
        <v>27</v>
      </c>
      <c r="D9" s="2" t="s">
        <v>11</v>
      </c>
      <c r="E9" s="3">
        <v>67721</v>
      </c>
      <c r="F9" s="4">
        <v>42050</v>
      </c>
      <c r="G9" s="5" t="s">
        <v>41</v>
      </c>
      <c r="H9" s="2" t="s">
        <v>29</v>
      </c>
      <c r="I9" s="6" t="s">
        <v>30</v>
      </c>
    </row>
    <row r="10" spans="1:9">
      <c r="A10" s="1" t="s">
        <v>42</v>
      </c>
      <c r="B10" s="2" t="s">
        <v>43</v>
      </c>
      <c r="C10" s="2" t="s">
        <v>44</v>
      </c>
      <c r="D10" s="2" t="s">
        <v>11</v>
      </c>
      <c r="E10" s="3">
        <v>35364</v>
      </c>
      <c r="F10" s="4">
        <v>42057</v>
      </c>
      <c r="G10" s="5">
        <v>2</v>
      </c>
      <c r="H10" s="2" t="s">
        <v>20</v>
      </c>
      <c r="I10" s="6" t="s">
        <v>45</v>
      </c>
    </row>
    <row r="11" spans="1:9" ht="15" customHeight="1">
      <c r="A11" s="1" t="s">
        <v>46</v>
      </c>
      <c r="B11" s="2" t="s">
        <v>23</v>
      </c>
      <c r="C11" s="2" t="s">
        <v>35</v>
      </c>
      <c r="D11" s="2" t="s">
        <v>19</v>
      </c>
      <c r="E11" s="3">
        <v>97881</v>
      </c>
      <c r="F11" s="4">
        <v>42064</v>
      </c>
      <c r="G11" s="5" t="s">
        <v>41</v>
      </c>
      <c r="H11" s="2" t="s">
        <v>37</v>
      </c>
      <c r="I11" s="6" t="s">
        <v>47</v>
      </c>
    </row>
    <row r="12" spans="1:9">
      <c r="A12" s="1" t="s">
        <v>48</v>
      </c>
      <c r="B12" s="2" t="s">
        <v>43</v>
      </c>
      <c r="C12" s="2" t="s">
        <v>18</v>
      </c>
      <c r="D12" s="2" t="s">
        <v>49</v>
      </c>
      <c r="E12" s="3">
        <v>91846</v>
      </c>
      <c r="F12" s="4">
        <v>42071</v>
      </c>
      <c r="G12" s="5" t="s">
        <v>41</v>
      </c>
      <c r="H12" s="2" t="s">
        <v>29</v>
      </c>
      <c r="I12" s="6" t="s">
        <v>50</v>
      </c>
    </row>
    <row r="13" spans="1:9">
      <c r="A13" s="1" t="s">
        <v>51</v>
      </c>
      <c r="B13" s="2" t="s">
        <v>40</v>
      </c>
      <c r="C13" s="2" t="s">
        <v>12</v>
      </c>
      <c r="D13" s="2" t="s">
        <v>49</v>
      </c>
      <c r="E13" s="3">
        <v>64247</v>
      </c>
      <c r="F13" s="4">
        <v>42078</v>
      </c>
      <c r="G13" s="5">
        <v>1</v>
      </c>
      <c r="H13" s="2" t="s">
        <v>37</v>
      </c>
      <c r="I13" s="6" t="s">
        <v>52</v>
      </c>
    </row>
    <row r="14" spans="1:9">
      <c r="A14" s="1" t="s">
        <v>53</v>
      </c>
      <c r="B14" s="2" t="s">
        <v>40</v>
      </c>
      <c r="C14" s="2" t="s">
        <v>35</v>
      </c>
      <c r="D14" s="2" t="s">
        <v>28</v>
      </c>
      <c r="E14" s="3">
        <v>91180</v>
      </c>
      <c r="F14" s="4">
        <v>42085</v>
      </c>
      <c r="G14" s="5">
        <v>5</v>
      </c>
      <c r="H14" s="2" t="s">
        <v>29</v>
      </c>
      <c r="I14" s="6" t="s">
        <v>54</v>
      </c>
    </row>
    <row r="15" spans="1:9" ht="15.75" customHeight="1">
      <c r="A15" s="1" t="s">
        <v>55</v>
      </c>
      <c r="B15" s="2" t="s">
        <v>56</v>
      </c>
      <c r="C15" s="2" t="s">
        <v>27</v>
      </c>
      <c r="D15" s="2" t="s">
        <v>11</v>
      </c>
      <c r="E15" s="3">
        <v>96418</v>
      </c>
      <c r="F15" s="4">
        <v>42092</v>
      </c>
      <c r="G15" s="5">
        <v>5</v>
      </c>
      <c r="H15" s="2" t="s">
        <v>29</v>
      </c>
      <c r="I15" s="6" t="s">
        <v>21</v>
      </c>
    </row>
    <row r="16" spans="1:9" ht="15" customHeight="1">
      <c r="A16" s="1" t="s">
        <v>57</v>
      </c>
      <c r="B16" s="2" t="s">
        <v>40</v>
      </c>
      <c r="C16" s="2" t="s">
        <v>11</v>
      </c>
      <c r="D16" s="2" t="s">
        <v>36</v>
      </c>
      <c r="E16" s="3">
        <v>62158</v>
      </c>
      <c r="F16" s="4">
        <v>42099</v>
      </c>
      <c r="G16" s="5">
        <v>4</v>
      </c>
      <c r="H16" s="2" t="s">
        <v>11</v>
      </c>
      <c r="I16" s="6" t="s">
        <v>58</v>
      </c>
    </row>
    <row r="17" spans="1:9">
      <c r="A17" s="1" t="s">
        <v>59</v>
      </c>
      <c r="B17" s="2" t="s">
        <v>32</v>
      </c>
      <c r="C17" s="2" t="s">
        <v>18</v>
      </c>
      <c r="D17" s="2" t="s">
        <v>11</v>
      </c>
      <c r="E17" s="3">
        <v>59894</v>
      </c>
      <c r="F17" s="4">
        <v>42106</v>
      </c>
      <c r="G17" s="5">
        <v>2</v>
      </c>
      <c r="H17" s="2" t="s">
        <v>29</v>
      </c>
      <c r="I17" s="6" t="s">
        <v>60</v>
      </c>
    </row>
    <row r="18" spans="1:9" ht="15.75" customHeight="1">
      <c r="A18" s="1" t="s">
        <v>61</v>
      </c>
      <c r="B18" s="2" t="s">
        <v>11</v>
      </c>
      <c r="C18" s="2" t="s">
        <v>35</v>
      </c>
      <c r="D18" s="2" t="s">
        <v>36</v>
      </c>
      <c r="E18" s="3">
        <v>92443</v>
      </c>
      <c r="F18" s="4">
        <v>42113</v>
      </c>
      <c r="G18" s="5">
        <v>3</v>
      </c>
      <c r="H18" s="2" t="s">
        <v>20</v>
      </c>
      <c r="I18" s="6" t="s">
        <v>62</v>
      </c>
    </row>
    <row r="19" spans="1:9">
      <c r="A19" s="1" t="s">
        <v>63</v>
      </c>
      <c r="B19" s="2" t="s">
        <v>56</v>
      </c>
      <c r="C19" s="2" t="s">
        <v>11</v>
      </c>
      <c r="D19" s="2" t="s">
        <v>19</v>
      </c>
      <c r="E19" s="3">
        <v>90271</v>
      </c>
      <c r="F19" s="4">
        <v>42120</v>
      </c>
      <c r="G19" s="5" t="s">
        <v>41</v>
      </c>
      <c r="H19" s="2" t="s">
        <v>11</v>
      </c>
      <c r="I19" s="6" t="s">
        <v>64</v>
      </c>
    </row>
    <row r="20" spans="1:9">
      <c r="A20" s="1" t="s">
        <v>65</v>
      </c>
      <c r="B20" s="2" t="s">
        <v>32</v>
      </c>
      <c r="C20" s="2" t="s">
        <v>12</v>
      </c>
      <c r="D20" s="2" t="s">
        <v>66</v>
      </c>
      <c r="E20" s="3">
        <v>41341</v>
      </c>
      <c r="F20" s="4">
        <v>42127</v>
      </c>
      <c r="G20" s="5">
        <v>1</v>
      </c>
      <c r="H20" s="2" t="s">
        <v>20</v>
      </c>
      <c r="I20" s="6" t="s">
        <v>67</v>
      </c>
    </row>
    <row r="21" spans="1:9">
      <c r="A21" s="1" t="s">
        <v>68</v>
      </c>
      <c r="B21" s="2" t="s">
        <v>23</v>
      </c>
      <c r="C21" s="2" t="s">
        <v>12</v>
      </c>
      <c r="D21" s="2" t="s">
        <v>49</v>
      </c>
      <c r="E21" s="3">
        <v>73602</v>
      </c>
      <c r="F21" s="4">
        <v>42134</v>
      </c>
      <c r="G21" s="5" t="s">
        <v>41</v>
      </c>
      <c r="H21" s="2" t="s">
        <v>11</v>
      </c>
      <c r="I21" s="6" t="s">
        <v>69</v>
      </c>
    </row>
    <row r="22" spans="1:9">
      <c r="A22" s="1" t="s">
        <v>70</v>
      </c>
      <c r="B22" s="2" t="s">
        <v>17</v>
      </c>
      <c r="C22" s="2" t="s">
        <v>11</v>
      </c>
      <c r="D22" s="2" t="s">
        <v>36</v>
      </c>
      <c r="E22" s="3">
        <v>67531</v>
      </c>
      <c r="F22" s="4">
        <v>42141</v>
      </c>
      <c r="G22" s="5">
        <v>5</v>
      </c>
      <c r="H22" s="2" t="s">
        <v>37</v>
      </c>
      <c r="I22" s="6" t="s">
        <v>71</v>
      </c>
    </row>
    <row r="23" spans="1:9">
      <c r="A23" s="1" t="s">
        <v>72</v>
      </c>
      <c r="B23" s="2" t="s">
        <v>32</v>
      </c>
      <c r="C23" s="2" t="s">
        <v>18</v>
      </c>
      <c r="D23" s="2" t="s">
        <v>28</v>
      </c>
      <c r="E23" s="3" t="s">
        <v>13</v>
      </c>
      <c r="F23" s="4">
        <v>42148</v>
      </c>
      <c r="G23" s="5">
        <v>2</v>
      </c>
      <c r="H23" s="2" t="s">
        <v>20</v>
      </c>
      <c r="I23" s="6" t="s">
        <v>73</v>
      </c>
    </row>
    <row r="24" spans="1:9">
      <c r="A24" s="1" t="s">
        <v>74</v>
      </c>
      <c r="B24" s="2" t="s">
        <v>32</v>
      </c>
      <c r="C24" s="2" t="s">
        <v>18</v>
      </c>
      <c r="D24" s="2" t="s">
        <v>11</v>
      </c>
      <c r="E24" s="3">
        <v>98922</v>
      </c>
      <c r="F24" s="4">
        <v>42155</v>
      </c>
      <c r="G24" s="5">
        <v>4</v>
      </c>
      <c r="H24" s="2" t="s">
        <v>11</v>
      </c>
      <c r="I24" s="6" t="s">
        <v>75</v>
      </c>
    </row>
    <row r="25" spans="1:9">
      <c r="A25" s="1" t="s">
        <v>76</v>
      </c>
      <c r="B25" s="2" t="s">
        <v>17</v>
      </c>
      <c r="C25" s="2" t="s">
        <v>12</v>
      </c>
      <c r="D25" s="2" t="s">
        <v>36</v>
      </c>
      <c r="E25" s="3">
        <v>38333</v>
      </c>
      <c r="F25" s="4">
        <v>42162</v>
      </c>
      <c r="G25" s="5">
        <v>5</v>
      </c>
      <c r="H25" s="2" t="s">
        <v>11</v>
      </c>
      <c r="I25" s="6" t="s">
        <v>77</v>
      </c>
    </row>
    <row r="26" spans="1:9">
      <c r="A26" s="1" t="s">
        <v>78</v>
      </c>
      <c r="B26" s="2" t="s">
        <v>23</v>
      </c>
      <c r="C26" s="2" t="s">
        <v>44</v>
      </c>
      <c r="D26" s="2" t="s">
        <v>49</v>
      </c>
      <c r="E26" s="3">
        <v>36515</v>
      </c>
      <c r="F26" s="4">
        <v>42169</v>
      </c>
      <c r="G26" s="5">
        <v>3</v>
      </c>
      <c r="H26" s="2" t="s">
        <v>29</v>
      </c>
      <c r="I26" s="6" t="s">
        <v>79</v>
      </c>
    </row>
    <row r="27" spans="1:9">
      <c r="A27" s="1" t="s">
        <v>80</v>
      </c>
      <c r="B27" s="2" t="s">
        <v>40</v>
      </c>
      <c r="C27" s="2" t="s">
        <v>12</v>
      </c>
      <c r="D27" s="2" t="s">
        <v>11</v>
      </c>
      <c r="E27" s="3">
        <v>91005</v>
      </c>
      <c r="F27" s="4">
        <v>42176</v>
      </c>
      <c r="G27" s="5">
        <v>1</v>
      </c>
      <c r="H27" s="2" t="s">
        <v>20</v>
      </c>
      <c r="I27" s="6" t="s">
        <v>81</v>
      </c>
    </row>
    <row r="28" spans="1:9">
      <c r="A28" s="1" t="s">
        <v>82</v>
      </c>
      <c r="B28" s="2" t="s">
        <v>43</v>
      </c>
      <c r="C28" s="2" t="s">
        <v>11</v>
      </c>
      <c r="D28" s="2" t="s">
        <v>11</v>
      </c>
      <c r="E28" s="3">
        <v>52272</v>
      </c>
      <c r="F28" s="4">
        <v>42183</v>
      </c>
      <c r="G28" s="5">
        <v>3</v>
      </c>
      <c r="H28" s="2" t="s">
        <v>11</v>
      </c>
      <c r="I28" s="6" t="s">
        <v>83</v>
      </c>
    </row>
    <row r="29" spans="1:9">
      <c r="A29" s="1" t="s">
        <v>84</v>
      </c>
      <c r="B29" s="2" t="s">
        <v>17</v>
      </c>
      <c r="C29" s="2" t="s">
        <v>27</v>
      </c>
      <c r="D29" s="2" t="s">
        <v>19</v>
      </c>
      <c r="E29" s="3">
        <v>76518</v>
      </c>
      <c r="F29" s="4">
        <v>42190</v>
      </c>
      <c r="G29" s="5">
        <v>2</v>
      </c>
      <c r="H29" s="2" t="s">
        <v>37</v>
      </c>
      <c r="I29" s="6" t="s">
        <v>85</v>
      </c>
    </row>
    <row r="30" spans="1:9">
      <c r="A30" s="1" t="s">
        <v>86</v>
      </c>
      <c r="B30" s="2" t="s">
        <v>23</v>
      </c>
      <c r="C30" s="2" t="s">
        <v>35</v>
      </c>
      <c r="D30" s="2" t="s">
        <v>49</v>
      </c>
      <c r="E30" s="3">
        <v>41448</v>
      </c>
      <c r="F30" s="4">
        <v>42197</v>
      </c>
      <c r="G30" s="5">
        <v>3</v>
      </c>
      <c r="H30" s="2" t="s">
        <v>20</v>
      </c>
      <c r="I30" s="6" t="s">
        <v>87</v>
      </c>
    </row>
    <row r="31" spans="1:9">
      <c r="A31" s="1" t="s">
        <v>88</v>
      </c>
      <c r="B31" s="2" t="s">
        <v>26</v>
      </c>
      <c r="C31" s="2" t="s">
        <v>18</v>
      </c>
      <c r="D31" s="2" t="s">
        <v>49</v>
      </c>
      <c r="E31" s="3">
        <v>49282</v>
      </c>
      <c r="F31" s="4">
        <v>42204</v>
      </c>
      <c r="G31" s="5">
        <v>2</v>
      </c>
      <c r="H31" s="2" t="s">
        <v>37</v>
      </c>
      <c r="I31" s="6" t="s">
        <v>89</v>
      </c>
    </row>
    <row r="32" spans="1:9">
      <c r="A32" s="1" t="s">
        <v>90</v>
      </c>
      <c r="B32" s="2" t="s">
        <v>56</v>
      </c>
      <c r="C32" s="2" t="s">
        <v>44</v>
      </c>
      <c r="D32" s="2" t="s">
        <v>49</v>
      </c>
      <c r="E32" s="3">
        <v>92959</v>
      </c>
      <c r="F32" s="4">
        <v>42211</v>
      </c>
      <c r="G32" s="5">
        <v>5</v>
      </c>
      <c r="H32" s="2" t="s">
        <v>11</v>
      </c>
      <c r="I32" s="6" t="s">
        <v>91</v>
      </c>
    </row>
    <row r="33" spans="1:9">
      <c r="A33" s="1" t="s">
        <v>92</v>
      </c>
      <c r="B33" s="2" t="s">
        <v>11</v>
      </c>
      <c r="C33" s="2" t="s">
        <v>44</v>
      </c>
      <c r="D33" s="2" t="s">
        <v>11</v>
      </c>
      <c r="E33" s="3">
        <v>92259</v>
      </c>
      <c r="F33" s="4" t="s">
        <v>11</v>
      </c>
      <c r="G33" s="5">
        <v>1</v>
      </c>
      <c r="H33" s="2" t="s">
        <v>14</v>
      </c>
      <c r="I33" s="6" t="s">
        <v>93</v>
      </c>
    </row>
    <row r="34" spans="1:9">
      <c r="A34" s="1" t="s">
        <v>94</v>
      </c>
      <c r="B34" s="2" t="s">
        <v>17</v>
      </c>
      <c r="C34" s="2" t="s">
        <v>18</v>
      </c>
      <c r="D34" s="2" t="s">
        <v>19</v>
      </c>
      <c r="E34" s="3">
        <v>92299</v>
      </c>
      <c r="F34" s="4">
        <v>42225</v>
      </c>
      <c r="G34" s="5">
        <v>3</v>
      </c>
      <c r="H34" s="2" t="s">
        <v>29</v>
      </c>
      <c r="I34" s="6" t="s">
        <v>95</v>
      </c>
    </row>
    <row r="35" spans="1:9">
      <c r="A35" s="1" t="s">
        <v>96</v>
      </c>
      <c r="B35" s="2" t="s">
        <v>40</v>
      </c>
      <c r="C35" s="2" t="s">
        <v>18</v>
      </c>
      <c r="D35" s="2" t="s">
        <v>11</v>
      </c>
      <c r="E35" s="3">
        <v>95586</v>
      </c>
      <c r="F35" s="4">
        <v>42232</v>
      </c>
      <c r="G35" s="5">
        <v>3</v>
      </c>
      <c r="H35" s="2" t="s">
        <v>20</v>
      </c>
      <c r="I35" s="6" t="s">
        <v>97</v>
      </c>
    </row>
    <row r="36" spans="1:9">
      <c r="A36" s="1" t="s">
        <v>98</v>
      </c>
      <c r="B36" s="2" t="s">
        <v>43</v>
      </c>
      <c r="C36" s="2" t="s">
        <v>11</v>
      </c>
      <c r="D36" s="2" t="s">
        <v>28</v>
      </c>
      <c r="E36" s="3">
        <v>95367</v>
      </c>
      <c r="F36" s="4">
        <v>42239</v>
      </c>
      <c r="G36" s="5" t="s">
        <v>41</v>
      </c>
      <c r="H36" s="2" t="s">
        <v>29</v>
      </c>
      <c r="I36" s="6" t="s">
        <v>99</v>
      </c>
    </row>
    <row r="37" spans="1:9">
      <c r="A37" s="1" t="s">
        <v>100</v>
      </c>
      <c r="B37" s="2" t="s">
        <v>26</v>
      </c>
      <c r="C37" s="2" t="s">
        <v>27</v>
      </c>
      <c r="D37" s="2" t="s">
        <v>66</v>
      </c>
      <c r="E37" s="3">
        <v>79549</v>
      </c>
      <c r="F37" s="4">
        <v>42246</v>
      </c>
      <c r="G37" s="5">
        <v>3</v>
      </c>
      <c r="H37" s="2" t="s">
        <v>11</v>
      </c>
      <c r="I37" s="6" t="s">
        <v>101</v>
      </c>
    </row>
    <row r="38" spans="1:9">
      <c r="A38" s="1" t="s">
        <v>102</v>
      </c>
      <c r="B38" s="2" t="s">
        <v>23</v>
      </c>
      <c r="C38" s="2" t="s">
        <v>11</v>
      </c>
      <c r="D38" s="2" t="s">
        <v>49</v>
      </c>
      <c r="E38" s="3">
        <v>54463</v>
      </c>
      <c r="F38" s="4">
        <v>42253</v>
      </c>
      <c r="G38" s="5">
        <v>4</v>
      </c>
      <c r="H38" s="2" t="s">
        <v>29</v>
      </c>
      <c r="I38" s="6" t="s">
        <v>15</v>
      </c>
    </row>
    <row r="39" spans="1:9">
      <c r="A39" s="1" t="s">
        <v>103</v>
      </c>
      <c r="B39" s="2" t="s">
        <v>23</v>
      </c>
      <c r="C39" s="2" t="s">
        <v>35</v>
      </c>
      <c r="D39" s="2" t="s">
        <v>28</v>
      </c>
      <c r="E39" s="3">
        <v>89781</v>
      </c>
      <c r="F39" s="4">
        <v>42260</v>
      </c>
      <c r="G39" s="5" t="s">
        <v>41</v>
      </c>
      <c r="H39" s="2" t="s">
        <v>37</v>
      </c>
      <c r="I39" s="6" t="s">
        <v>104</v>
      </c>
    </row>
    <row r="40" spans="1:9">
      <c r="A40" s="1" t="s">
        <v>105</v>
      </c>
      <c r="B40" s="2" t="s">
        <v>23</v>
      </c>
      <c r="C40" s="2" t="s">
        <v>18</v>
      </c>
      <c r="D40" s="2" t="s">
        <v>11</v>
      </c>
      <c r="E40" s="3">
        <v>64796</v>
      </c>
      <c r="F40" s="4">
        <v>42267</v>
      </c>
      <c r="G40" s="5" t="s">
        <v>41</v>
      </c>
      <c r="H40" s="2" t="s">
        <v>20</v>
      </c>
      <c r="I40" s="6" t="s">
        <v>106</v>
      </c>
    </row>
    <row r="41" spans="1:9">
      <c r="A41" s="1" t="s">
        <v>107</v>
      </c>
      <c r="B41" s="2" t="s">
        <v>26</v>
      </c>
      <c r="C41" s="2" t="s">
        <v>44</v>
      </c>
      <c r="D41" s="2" t="s">
        <v>49</v>
      </c>
      <c r="E41" s="3">
        <v>52093</v>
      </c>
      <c r="F41" s="4">
        <v>42274</v>
      </c>
      <c r="G41" s="5">
        <v>5</v>
      </c>
      <c r="H41" s="2" t="s">
        <v>11</v>
      </c>
      <c r="I41" s="6" t="s">
        <v>108</v>
      </c>
    </row>
    <row r="42" spans="1:9">
      <c r="A42" s="1" t="s">
        <v>109</v>
      </c>
      <c r="B42" s="2" t="s">
        <v>43</v>
      </c>
      <c r="C42" s="2" t="s">
        <v>18</v>
      </c>
      <c r="D42" s="2" t="s">
        <v>49</v>
      </c>
      <c r="E42" s="3">
        <v>48224</v>
      </c>
      <c r="F42" s="4">
        <v>42281</v>
      </c>
      <c r="G42" s="5">
        <v>3</v>
      </c>
      <c r="H42" s="2" t="s">
        <v>11</v>
      </c>
      <c r="I42" s="6" t="s">
        <v>110</v>
      </c>
    </row>
    <row r="43" spans="1:9">
      <c r="A43" s="1" t="s">
        <v>111</v>
      </c>
      <c r="B43" s="2" t="s">
        <v>56</v>
      </c>
      <c r="C43" s="2" t="s">
        <v>12</v>
      </c>
      <c r="D43" s="2" t="s">
        <v>49</v>
      </c>
      <c r="E43" s="3" t="s">
        <v>13</v>
      </c>
      <c r="F43" s="4" t="s">
        <v>11</v>
      </c>
      <c r="G43" s="5">
        <v>4</v>
      </c>
      <c r="H43" s="2" t="s">
        <v>37</v>
      </c>
      <c r="I43" s="6" t="s">
        <v>112</v>
      </c>
    </row>
    <row r="44" spans="1:9">
      <c r="A44" s="1" t="s">
        <v>113</v>
      </c>
      <c r="B44" s="2" t="s">
        <v>23</v>
      </c>
      <c r="C44" s="2" t="s">
        <v>35</v>
      </c>
      <c r="D44" s="2" t="s">
        <v>19</v>
      </c>
      <c r="E44" s="3">
        <v>33956</v>
      </c>
      <c r="F44" s="4">
        <v>42295</v>
      </c>
      <c r="G44" s="5" t="s">
        <v>41</v>
      </c>
      <c r="H44" s="2" t="s">
        <v>11</v>
      </c>
      <c r="I44" s="6" t="s">
        <v>114</v>
      </c>
    </row>
    <row r="45" spans="1:9">
      <c r="A45" s="1" t="s">
        <v>115</v>
      </c>
      <c r="B45" s="2" t="s">
        <v>56</v>
      </c>
      <c r="C45" s="2" t="s">
        <v>11</v>
      </c>
      <c r="D45" s="2" t="s">
        <v>66</v>
      </c>
      <c r="E45" s="3">
        <v>64913</v>
      </c>
      <c r="F45" s="4">
        <v>42302</v>
      </c>
      <c r="G45" s="5">
        <v>1</v>
      </c>
      <c r="H45" s="2" t="s">
        <v>37</v>
      </c>
      <c r="I45" s="6" t="s">
        <v>116</v>
      </c>
    </row>
    <row r="46" spans="1:9">
      <c r="A46" s="1" t="s">
        <v>117</v>
      </c>
      <c r="B46" s="2" t="s">
        <v>23</v>
      </c>
      <c r="C46" s="2" t="s">
        <v>44</v>
      </c>
      <c r="D46" s="2" t="s">
        <v>66</v>
      </c>
      <c r="E46" s="3">
        <v>35326</v>
      </c>
      <c r="F46" s="4">
        <v>42309</v>
      </c>
      <c r="G46" s="5" t="s">
        <v>41</v>
      </c>
      <c r="H46" s="2" t="s">
        <v>37</v>
      </c>
      <c r="I46" s="6" t="s">
        <v>118</v>
      </c>
    </row>
    <row r="47" spans="1:9">
      <c r="A47" s="1" t="s">
        <v>119</v>
      </c>
      <c r="B47" s="2" t="s">
        <v>43</v>
      </c>
      <c r="C47" s="2" t="s">
        <v>12</v>
      </c>
      <c r="D47" s="2" t="s">
        <v>11</v>
      </c>
      <c r="E47" s="3">
        <v>81610</v>
      </c>
      <c r="F47" s="4">
        <v>42316</v>
      </c>
      <c r="G47" s="5">
        <v>1</v>
      </c>
      <c r="H47" s="2" t="s">
        <v>11</v>
      </c>
      <c r="I47" s="6" t="s">
        <v>120</v>
      </c>
    </row>
    <row r="48" spans="1:9">
      <c r="A48" s="1" t="s">
        <v>121</v>
      </c>
      <c r="B48" s="2" t="s">
        <v>11</v>
      </c>
      <c r="C48" s="2" t="s">
        <v>18</v>
      </c>
      <c r="D48" s="2" t="s">
        <v>11</v>
      </c>
      <c r="E48" s="3">
        <v>58962</v>
      </c>
      <c r="F48" s="4">
        <v>42323</v>
      </c>
      <c r="G48" s="5">
        <v>3</v>
      </c>
      <c r="H48" s="2" t="s">
        <v>20</v>
      </c>
      <c r="I48" s="6" t="s">
        <v>21</v>
      </c>
    </row>
    <row r="49" spans="1:9">
      <c r="A49" s="1" t="s">
        <v>122</v>
      </c>
      <c r="B49" s="2" t="s">
        <v>43</v>
      </c>
      <c r="C49" s="2" t="s">
        <v>35</v>
      </c>
      <c r="D49" s="2" t="s">
        <v>19</v>
      </c>
      <c r="E49" s="3">
        <v>92701</v>
      </c>
      <c r="F49" s="4">
        <v>42330</v>
      </c>
      <c r="G49" s="5">
        <v>3</v>
      </c>
      <c r="H49" s="2" t="s">
        <v>20</v>
      </c>
      <c r="I49" s="6" t="s">
        <v>123</v>
      </c>
    </row>
    <row r="50" spans="1:9">
      <c r="A50" s="1" t="s">
        <v>124</v>
      </c>
      <c r="B50" s="2" t="s">
        <v>43</v>
      </c>
      <c r="C50" s="2" t="s">
        <v>18</v>
      </c>
      <c r="D50" s="2" t="s">
        <v>36</v>
      </c>
      <c r="E50" s="3">
        <v>58245</v>
      </c>
      <c r="F50" s="4">
        <v>42337</v>
      </c>
      <c r="G50" s="5">
        <v>4</v>
      </c>
      <c r="H50" s="2" t="s">
        <v>11</v>
      </c>
      <c r="I50" s="6" t="s">
        <v>125</v>
      </c>
    </row>
    <row r="51" spans="1:9">
      <c r="A51" s="1" t="s">
        <v>126</v>
      </c>
      <c r="B51" s="2" t="s">
        <v>26</v>
      </c>
      <c r="C51" s="2" t="s">
        <v>12</v>
      </c>
      <c r="D51" s="2" t="s">
        <v>11</v>
      </c>
      <c r="E51" s="3">
        <v>66513</v>
      </c>
      <c r="F51" s="4">
        <v>42344</v>
      </c>
      <c r="G51" s="5">
        <v>2</v>
      </c>
      <c r="H51" s="2" t="s">
        <v>20</v>
      </c>
      <c r="I51" s="6" t="s">
        <v>38</v>
      </c>
    </row>
    <row r="52" spans="1:9">
      <c r="A52" s="1" t="s">
        <v>127</v>
      </c>
      <c r="B52" s="2" t="s">
        <v>17</v>
      </c>
      <c r="C52" s="2" t="s">
        <v>18</v>
      </c>
      <c r="D52" s="2" t="s">
        <v>19</v>
      </c>
      <c r="E52" s="3">
        <v>78720</v>
      </c>
      <c r="F52" s="4">
        <v>42351</v>
      </c>
      <c r="G52" s="5">
        <v>5</v>
      </c>
      <c r="H52" s="2" t="s">
        <v>37</v>
      </c>
      <c r="I52" s="6" t="s">
        <v>112</v>
      </c>
    </row>
    <row r="53" spans="1:9">
      <c r="A53" s="1" t="s">
        <v>128</v>
      </c>
      <c r="B53" s="2" t="s">
        <v>43</v>
      </c>
      <c r="C53" s="2" t="s">
        <v>11</v>
      </c>
      <c r="D53" s="2" t="s">
        <v>11</v>
      </c>
      <c r="E53" s="3">
        <v>30686</v>
      </c>
      <c r="F53" s="4" t="s">
        <v>11</v>
      </c>
      <c r="G53" s="5">
        <v>2</v>
      </c>
      <c r="H53" s="2" t="s">
        <v>37</v>
      </c>
      <c r="I53" s="6" t="s">
        <v>129</v>
      </c>
    </row>
    <row r="54" spans="1:9">
      <c r="A54" s="1" t="s">
        <v>130</v>
      </c>
      <c r="B54" s="2" t="s">
        <v>40</v>
      </c>
      <c r="C54" s="2" t="s">
        <v>27</v>
      </c>
      <c r="D54" s="2" t="s">
        <v>36</v>
      </c>
      <c r="E54" s="3">
        <v>39423</v>
      </c>
      <c r="F54" s="4">
        <v>42365</v>
      </c>
      <c r="G54" s="5">
        <v>5</v>
      </c>
      <c r="H54" s="2" t="s">
        <v>11</v>
      </c>
      <c r="I54" s="6" t="s">
        <v>131</v>
      </c>
    </row>
    <row r="55" spans="1:9">
      <c r="A55" s="1" t="s">
        <v>132</v>
      </c>
      <c r="B55" s="2" t="s">
        <v>17</v>
      </c>
      <c r="C55" s="2" t="s">
        <v>44</v>
      </c>
      <c r="D55" s="2" t="s">
        <v>11</v>
      </c>
      <c r="E55" s="3">
        <v>30280</v>
      </c>
      <c r="F55" s="4">
        <v>42372</v>
      </c>
      <c r="G55" s="5">
        <v>1</v>
      </c>
      <c r="H55" s="2" t="s">
        <v>11</v>
      </c>
      <c r="I55" s="6" t="s">
        <v>133</v>
      </c>
    </row>
    <row r="56" spans="1:9">
      <c r="A56" s="1" t="s">
        <v>134</v>
      </c>
      <c r="B56" s="2" t="s">
        <v>17</v>
      </c>
      <c r="C56" s="2" t="s">
        <v>12</v>
      </c>
      <c r="D56" s="2" t="s">
        <v>49</v>
      </c>
      <c r="E56" s="3">
        <v>33352</v>
      </c>
      <c r="F56" s="4">
        <v>42379</v>
      </c>
      <c r="G56" s="5">
        <v>3</v>
      </c>
      <c r="H56" s="2" t="s">
        <v>37</v>
      </c>
      <c r="I56" s="6" t="s">
        <v>73</v>
      </c>
    </row>
    <row r="57" spans="1:9">
      <c r="A57" s="1" t="s">
        <v>135</v>
      </c>
      <c r="B57" s="2" t="s">
        <v>56</v>
      </c>
      <c r="C57" s="2" t="s">
        <v>44</v>
      </c>
      <c r="D57" s="2" t="s">
        <v>49</v>
      </c>
      <c r="E57" s="3">
        <v>75633</v>
      </c>
      <c r="F57" s="4">
        <v>42386</v>
      </c>
      <c r="G57" s="5">
        <v>5</v>
      </c>
      <c r="H57" s="2" t="s">
        <v>20</v>
      </c>
      <c r="I57" s="6" t="s">
        <v>136</v>
      </c>
    </row>
    <row r="58" spans="1:9">
      <c r="A58" s="1" t="s">
        <v>137</v>
      </c>
      <c r="B58" s="2" t="s">
        <v>43</v>
      </c>
      <c r="C58" s="2" t="s">
        <v>11</v>
      </c>
      <c r="D58" s="2" t="s">
        <v>28</v>
      </c>
      <c r="E58" s="3">
        <v>74815</v>
      </c>
      <c r="F58" s="4">
        <v>42393</v>
      </c>
      <c r="G58" s="5">
        <v>5</v>
      </c>
      <c r="H58" s="2" t="s">
        <v>37</v>
      </c>
      <c r="I58" s="6" t="s">
        <v>138</v>
      </c>
    </row>
    <row r="59" spans="1:9">
      <c r="A59" s="1" t="s">
        <v>139</v>
      </c>
      <c r="B59" s="2" t="s">
        <v>26</v>
      </c>
      <c r="C59" s="2" t="s">
        <v>27</v>
      </c>
      <c r="D59" s="2" t="s">
        <v>66</v>
      </c>
      <c r="E59" s="3">
        <v>60011</v>
      </c>
      <c r="F59" s="4">
        <v>42400</v>
      </c>
      <c r="G59" s="5">
        <v>1</v>
      </c>
      <c r="H59" s="2" t="s">
        <v>29</v>
      </c>
      <c r="I59" s="6" t="s">
        <v>140</v>
      </c>
    </row>
    <row r="60" spans="1:9">
      <c r="A60" s="1" t="s">
        <v>141</v>
      </c>
      <c r="B60" s="2" t="s">
        <v>17</v>
      </c>
      <c r="C60" s="2" t="s">
        <v>11</v>
      </c>
      <c r="D60" s="2" t="s">
        <v>36</v>
      </c>
      <c r="E60" s="3">
        <v>96949</v>
      </c>
      <c r="F60" s="4">
        <v>42407</v>
      </c>
      <c r="G60" s="5">
        <v>3</v>
      </c>
      <c r="H60" s="2" t="s">
        <v>11</v>
      </c>
      <c r="I60" s="6" t="s">
        <v>87</v>
      </c>
    </row>
    <row r="61" spans="1:9">
      <c r="A61" s="1" t="s">
        <v>142</v>
      </c>
      <c r="B61" s="2" t="s">
        <v>40</v>
      </c>
      <c r="C61" s="2" t="s">
        <v>44</v>
      </c>
      <c r="D61" s="2" t="s">
        <v>11</v>
      </c>
      <c r="E61" s="3">
        <v>84924</v>
      </c>
      <c r="F61" s="4">
        <v>42414</v>
      </c>
      <c r="G61" s="5">
        <v>5</v>
      </c>
      <c r="H61" s="2" t="s">
        <v>29</v>
      </c>
      <c r="I61" s="6" t="s">
        <v>143</v>
      </c>
    </row>
    <row r="62" spans="1:9">
      <c r="A62" s="1" t="s">
        <v>144</v>
      </c>
      <c r="B62" s="2" t="s">
        <v>40</v>
      </c>
      <c r="C62" s="2" t="s">
        <v>12</v>
      </c>
      <c r="D62" s="2" t="s">
        <v>28</v>
      </c>
      <c r="E62" s="3">
        <v>82033</v>
      </c>
      <c r="F62" s="4">
        <v>42421</v>
      </c>
      <c r="G62" s="5">
        <v>1</v>
      </c>
      <c r="H62" s="2" t="s">
        <v>11</v>
      </c>
      <c r="I62" s="6" t="s">
        <v>120</v>
      </c>
    </row>
    <row r="63" spans="1:9">
      <c r="A63" s="1" t="s">
        <v>145</v>
      </c>
      <c r="B63" s="2" t="s">
        <v>11</v>
      </c>
      <c r="C63" s="2" t="s">
        <v>44</v>
      </c>
      <c r="D63" s="2" t="s">
        <v>19</v>
      </c>
      <c r="E63" s="3" t="s">
        <v>13</v>
      </c>
      <c r="F63" s="4" t="s">
        <v>11</v>
      </c>
      <c r="G63" s="5">
        <v>5</v>
      </c>
      <c r="H63" s="2" t="s">
        <v>14</v>
      </c>
      <c r="I63" s="6" t="s">
        <v>146</v>
      </c>
    </row>
    <row r="64" spans="1:9">
      <c r="A64" s="1" t="s">
        <v>147</v>
      </c>
      <c r="B64" s="2" t="s">
        <v>17</v>
      </c>
      <c r="C64" s="2" t="s">
        <v>11</v>
      </c>
      <c r="D64" s="2" t="s">
        <v>66</v>
      </c>
      <c r="E64" s="3">
        <v>31499</v>
      </c>
      <c r="F64" s="4">
        <v>42435</v>
      </c>
      <c r="G64" s="5">
        <v>2</v>
      </c>
      <c r="H64" s="2" t="s">
        <v>11</v>
      </c>
      <c r="I64" s="6" t="s">
        <v>104</v>
      </c>
    </row>
    <row r="65" spans="1:9">
      <c r="A65" s="1" t="s">
        <v>148</v>
      </c>
      <c r="B65" s="2" t="s">
        <v>43</v>
      </c>
      <c r="C65" s="2" t="s">
        <v>35</v>
      </c>
      <c r="D65" s="2" t="s">
        <v>49</v>
      </c>
      <c r="E65" s="3">
        <v>97981</v>
      </c>
      <c r="F65" s="4">
        <v>42442</v>
      </c>
      <c r="G65" s="5">
        <v>5</v>
      </c>
      <c r="H65" s="2" t="s">
        <v>37</v>
      </c>
      <c r="I65" s="6" t="s">
        <v>149</v>
      </c>
    </row>
    <row r="66" spans="1:9">
      <c r="A66" s="1" t="s">
        <v>150</v>
      </c>
      <c r="B66" s="2" t="s">
        <v>17</v>
      </c>
      <c r="C66" s="2" t="s">
        <v>18</v>
      </c>
      <c r="D66" s="2" t="s">
        <v>28</v>
      </c>
      <c r="E66" s="3">
        <v>36541</v>
      </c>
      <c r="F66" s="4">
        <v>42449</v>
      </c>
      <c r="G66" s="5">
        <v>2</v>
      </c>
      <c r="H66" s="2" t="s">
        <v>20</v>
      </c>
      <c r="I66" s="6" t="s">
        <v>151</v>
      </c>
    </row>
    <row r="67" spans="1:9">
      <c r="A67" s="1" t="s">
        <v>152</v>
      </c>
      <c r="B67" s="2" t="s">
        <v>26</v>
      </c>
      <c r="C67" s="2" t="s">
        <v>35</v>
      </c>
      <c r="D67" s="2" t="s">
        <v>36</v>
      </c>
      <c r="E67" s="3">
        <v>84737</v>
      </c>
      <c r="F67" s="4">
        <v>42456</v>
      </c>
      <c r="G67" s="5">
        <v>1</v>
      </c>
      <c r="H67" s="2" t="s">
        <v>29</v>
      </c>
      <c r="I67" s="6" t="s">
        <v>153</v>
      </c>
    </row>
    <row r="68" spans="1:9">
      <c r="A68" s="1" t="s">
        <v>154</v>
      </c>
      <c r="B68" s="2" t="s">
        <v>40</v>
      </c>
      <c r="C68" s="2" t="s">
        <v>12</v>
      </c>
      <c r="D68" s="2" t="s">
        <v>36</v>
      </c>
      <c r="E68" s="3">
        <v>33468</v>
      </c>
      <c r="F68" s="4">
        <v>42463</v>
      </c>
      <c r="G68" s="5">
        <v>4</v>
      </c>
      <c r="H68" s="2" t="s">
        <v>29</v>
      </c>
      <c r="I68" s="6" t="s">
        <v>155</v>
      </c>
    </row>
    <row r="69" spans="1:9">
      <c r="A69" s="1" t="s">
        <v>156</v>
      </c>
      <c r="B69" s="2" t="s">
        <v>40</v>
      </c>
      <c r="C69" s="2" t="s">
        <v>11</v>
      </c>
      <c r="D69" s="2" t="s">
        <v>66</v>
      </c>
      <c r="E69" s="3">
        <v>96365</v>
      </c>
      <c r="F69" s="4">
        <v>42470</v>
      </c>
      <c r="G69" s="5">
        <v>3</v>
      </c>
      <c r="H69" s="2" t="s">
        <v>20</v>
      </c>
      <c r="I69" s="6" t="s">
        <v>157</v>
      </c>
    </row>
    <row r="70" spans="1:9">
      <c r="A70" s="1" t="s">
        <v>158</v>
      </c>
      <c r="B70" s="2" t="s">
        <v>23</v>
      </c>
      <c r="C70" s="2" t="s">
        <v>27</v>
      </c>
      <c r="D70" s="2" t="s">
        <v>36</v>
      </c>
      <c r="E70" s="3">
        <v>61942</v>
      </c>
      <c r="F70" s="4">
        <v>42477</v>
      </c>
      <c r="G70" s="5">
        <v>3</v>
      </c>
      <c r="H70" s="2" t="s">
        <v>37</v>
      </c>
      <c r="I70" s="6" t="s">
        <v>159</v>
      </c>
    </row>
    <row r="71" spans="1:9">
      <c r="A71" s="1" t="s">
        <v>160</v>
      </c>
      <c r="B71" s="2" t="s">
        <v>40</v>
      </c>
      <c r="C71" s="2" t="s">
        <v>12</v>
      </c>
      <c r="D71" s="2" t="s">
        <v>49</v>
      </c>
      <c r="E71" s="3">
        <v>41467</v>
      </c>
      <c r="F71" s="4">
        <v>42484</v>
      </c>
      <c r="G71" s="5">
        <v>2</v>
      </c>
      <c r="H71" s="2" t="s">
        <v>11</v>
      </c>
      <c r="I71" s="6" t="s">
        <v>75</v>
      </c>
    </row>
    <row r="72" spans="1:9">
      <c r="A72" s="1" t="s">
        <v>161</v>
      </c>
      <c r="B72" s="2" t="s">
        <v>56</v>
      </c>
      <c r="C72" s="2" t="s">
        <v>12</v>
      </c>
      <c r="D72" s="2" t="s">
        <v>36</v>
      </c>
      <c r="E72" s="3">
        <v>77096</v>
      </c>
      <c r="F72" s="4">
        <v>42491</v>
      </c>
      <c r="G72" s="5">
        <v>1</v>
      </c>
      <c r="H72" s="2" t="s">
        <v>11</v>
      </c>
      <c r="I72" s="6" t="s">
        <v>162</v>
      </c>
    </row>
    <row r="73" spans="1:9">
      <c r="A73" s="1" t="s">
        <v>163</v>
      </c>
      <c r="B73" s="2" t="s">
        <v>17</v>
      </c>
      <c r="C73" s="2" t="s">
        <v>27</v>
      </c>
      <c r="D73" s="2" t="s">
        <v>66</v>
      </c>
      <c r="E73" s="3">
        <v>69952</v>
      </c>
      <c r="F73" s="4">
        <v>42498</v>
      </c>
      <c r="G73" s="5">
        <v>5</v>
      </c>
      <c r="H73" s="2" t="s">
        <v>37</v>
      </c>
      <c r="I73" s="6" t="s">
        <v>15</v>
      </c>
    </row>
    <row r="74" spans="1:9">
      <c r="A74" s="1" t="s">
        <v>164</v>
      </c>
      <c r="B74" s="2" t="s">
        <v>17</v>
      </c>
      <c r="C74" s="2" t="s">
        <v>44</v>
      </c>
      <c r="D74" s="2" t="s">
        <v>28</v>
      </c>
      <c r="E74" s="3">
        <v>85065</v>
      </c>
      <c r="F74" s="4">
        <v>42505</v>
      </c>
      <c r="G74" s="5">
        <v>3</v>
      </c>
      <c r="H74" s="2" t="s">
        <v>11</v>
      </c>
      <c r="I74" s="6" t="s">
        <v>165</v>
      </c>
    </row>
    <row r="75" spans="1:9">
      <c r="A75" s="1" t="s">
        <v>166</v>
      </c>
      <c r="B75" s="2" t="s">
        <v>56</v>
      </c>
      <c r="C75" s="2" t="s">
        <v>44</v>
      </c>
      <c r="D75" s="2" t="s">
        <v>36</v>
      </c>
      <c r="E75" s="3">
        <v>56512</v>
      </c>
      <c r="F75" s="4">
        <v>42512</v>
      </c>
      <c r="G75" s="5" t="s">
        <v>41</v>
      </c>
      <c r="H75" s="2" t="s">
        <v>20</v>
      </c>
      <c r="I75" s="6" t="s">
        <v>50</v>
      </c>
    </row>
    <row r="76" spans="1:9">
      <c r="A76" s="1" t="s">
        <v>167</v>
      </c>
      <c r="B76" s="2" t="s">
        <v>26</v>
      </c>
      <c r="C76" s="2" t="s">
        <v>27</v>
      </c>
      <c r="D76" s="2" t="s">
        <v>36</v>
      </c>
      <c r="E76" s="3">
        <v>91101</v>
      </c>
      <c r="F76" s="4">
        <v>42519</v>
      </c>
      <c r="G76" s="5">
        <v>4</v>
      </c>
      <c r="H76" s="2" t="s">
        <v>37</v>
      </c>
      <c r="I76" s="6" t="s">
        <v>149</v>
      </c>
    </row>
    <row r="77" spans="1:9">
      <c r="A77" s="1" t="s">
        <v>168</v>
      </c>
      <c r="B77" s="2" t="s">
        <v>40</v>
      </c>
      <c r="C77" s="2" t="s">
        <v>11</v>
      </c>
      <c r="D77" s="2" t="s">
        <v>19</v>
      </c>
      <c r="E77" s="3">
        <v>41243</v>
      </c>
      <c r="F77" s="4">
        <v>42526</v>
      </c>
      <c r="G77" s="5" t="s">
        <v>41</v>
      </c>
      <c r="H77" s="2" t="s">
        <v>11</v>
      </c>
      <c r="I77" s="6" t="s">
        <v>95</v>
      </c>
    </row>
    <row r="78" spans="1:9">
      <c r="A78" s="1" t="s">
        <v>169</v>
      </c>
      <c r="B78" s="2" t="s">
        <v>11</v>
      </c>
      <c r="C78" s="2" t="s">
        <v>27</v>
      </c>
      <c r="D78" s="2" t="s">
        <v>11</v>
      </c>
      <c r="E78" s="3">
        <v>96142</v>
      </c>
      <c r="F78" s="4">
        <v>42533</v>
      </c>
      <c r="G78" s="5">
        <v>1</v>
      </c>
      <c r="H78" s="2" t="s">
        <v>20</v>
      </c>
      <c r="I78" s="6" t="s">
        <v>170</v>
      </c>
    </row>
    <row r="79" spans="1:9">
      <c r="A79" s="1" t="s">
        <v>171</v>
      </c>
      <c r="B79" s="2" t="s">
        <v>17</v>
      </c>
      <c r="C79" s="2" t="s">
        <v>35</v>
      </c>
      <c r="D79" s="2" t="s">
        <v>36</v>
      </c>
      <c r="E79" s="3">
        <v>94301</v>
      </c>
      <c r="F79" s="4">
        <v>42540</v>
      </c>
      <c r="G79" s="5">
        <v>1</v>
      </c>
      <c r="H79" s="2" t="s">
        <v>29</v>
      </c>
      <c r="I79" s="6" t="s">
        <v>120</v>
      </c>
    </row>
    <row r="80" spans="1:9">
      <c r="A80" s="1" t="s">
        <v>172</v>
      </c>
      <c r="B80" s="2" t="s">
        <v>32</v>
      </c>
      <c r="C80" s="2" t="s">
        <v>11</v>
      </c>
      <c r="D80" s="2" t="s">
        <v>49</v>
      </c>
      <c r="E80" s="3">
        <v>69166</v>
      </c>
      <c r="F80" s="4">
        <v>42547</v>
      </c>
      <c r="G80" s="5">
        <v>1</v>
      </c>
      <c r="H80" s="2" t="s">
        <v>37</v>
      </c>
      <c r="I80" s="6" t="s">
        <v>173</v>
      </c>
    </row>
    <row r="81" spans="1:9">
      <c r="A81" s="1" t="s">
        <v>174</v>
      </c>
      <c r="B81" s="2" t="s">
        <v>40</v>
      </c>
      <c r="C81" s="2" t="s">
        <v>11</v>
      </c>
      <c r="D81" s="2" t="s">
        <v>49</v>
      </c>
      <c r="E81" s="3">
        <v>78245</v>
      </c>
      <c r="F81" s="4">
        <v>42554</v>
      </c>
      <c r="G81" s="5">
        <v>2</v>
      </c>
      <c r="H81" s="2" t="s">
        <v>11</v>
      </c>
      <c r="I81" s="6" t="s">
        <v>175</v>
      </c>
    </row>
    <row r="82" spans="1:9">
      <c r="A82" s="1" t="s">
        <v>176</v>
      </c>
      <c r="B82" s="2" t="s">
        <v>43</v>
      </c>
      <c r="C82" s="2" t="s">
        <v>27</v>
      </c>
      <c r="D82" s="2" t="s">
        <v>28</v>
      </c>
      <c r="E82" s="3">
        <v>66079</v>
      </c>
      <c r="F82" s="4">
        <v>42561</v>
      </c>
      <c r="G82" s="5">
        <v>2</v>
      </c>
      <c r="H82" s="2" t="s">
        <v>20</v>
      </c>
      <c r="I82" s="6" t="s">
        <v>177</v>
      </c>
    </row>
    <row r="83" spans="1:9">
      <c r="A83" s="1" t="s">
        <v>178</v>
      </c>
      <c r="B83" s="2" t="s">
        <v>17</v>
      </c>
      <c r="C83" s="2" t="s">
        <v>44</v>
      </c>
      <c r="D83" s="2" t="s">
        <v>36</v>
      </c>
      <c r="E83" s="3" t="s">
        <v>13</v>
      </c>
      <c r="F83" s="4" t="s">
        <v>11</v>
      </c>
      <c r="G83" s="5" t="s">
        <v>41</v>
      </c>
      <c r="H83" s="2" t="s">
        <v>11</v>
      </c>
      <c r="I83" s="6" t="s">
        <v>89</v>
      </c>
    </row>
    <row r="84" spans="1:9">
      <c r="A84" s="1" t="s">
        <v>179</v>
      </c>
      <c r="B84" s="2" t="s">
        <v>32</v>
      </c>
      <c r="C84" s="2" t="s">
        <v>27</v>
      </c>
      <c r="D84" s="2" t="s">
        <v>28</v>
      </c>
      <c r="E84" s="3">
        <v>95621</v>
      </c>
      <c r="F84" s="4">
        <v>42575</v>
      </c>
      <c r="G84" s="5">
        <v>3</v>
      </c>
      <c r="H84" s="2" t="s">
        <v>37</v>
      </c>
      <c r="I84" s="6" t="s">
        <v>180</v>
      </c>
    </row>
    <row r="85" spans="1:9">
      <c r="A85" s="1" t="s">
        <v>181</v>
      </c>
      <c r="B85" s="2" t="s">
        <v>17</v>
      </c>
      <c r="C85" s="2" t="s">
        <v>35</v>
      </c>
      <c r="D85" s="2" t="s">
        <v>49</v>
      </c>
      <c r="E85" s="3">
        <v>42262</v>
      </c>
      <c r="F85" s="4">
        <v>42582</v>
      </c>
      <c r="G85" s="5">
        <v>1</v>
      </c>
      <c r="H85" s="2" t="s">
        <v>11</v>
      </c>
      <c r="I85" s="6" t="s">
        <v>182</v>
      </c>
    </row>
    <row r="86" spans="1:9">
      <c r="A86" s="1" t="s">
        <v>183</v>
      </c>
      <c r="B86" s="2" t="s">
        <v>40</v>
      </c>
      <c r="C86" s="2" t="s">
        <v>27</v>
      </c>
      <c r="D86" s="2" t="s">
        <v>36</v>
      </c>
      <c r="E86" s="3">
        <v>99621</v>
      </c>
      <c r="F86" s="4">
        <v>42589</v>
      </c>
      <c r="G86" s="5" t="s">
        <v>41</v>
      </c>
      <c r="H86" s="2" t="s">
        <v>20</v>
      </c>
      <c r="I86" s="6" t="s">
        <v>184</v>
      </c>
    </row>
    <row r="87" spans="1:9">
      <c r="A87" s="1" t="s">
        <v>185</v>
      </c>
      <c r="B87" s="2" t="s">
        <v>26</v>
      </c>
      <c r="C87" s="2" t="s">
        <v>44</v>
      </c>
      <c r="D87" s="2" t="s">
        <v>36</v>
      </c>
      <c r="E87" s="3">
        <v>44682</v>
      </c>
      <c r="F87" s="4">
        <v>42596</v>
      </c>
      <c r="G87" s="5">
        <v>4</v>
      </c>
      <c r="H87" s="2" t="s">
        <v>37</v>
      </c>
      <c r="I87" s="6" t="s">
        <v>114</v>
      </c>
    </row>
    <row r="88" spans="1:9">
      <c r="A88" s="1" t="s">
        <v>186</v>
      </c>
      <c r="B88" s="2" t="s">
        <v>43</v>
      </c>
      <c r="C88" s="2" t="s">
        <v>12</v>
      </c>
      <c r="D88" s="2" t="s">
        <v>11</v>
      </c>
      <c r="E88" s="3">
        <v>35163</v>
      </c>
      <c r="F88" s="4">
        <v>42603</v>
      </c>
      <c r="G88" s="5">
        <v>5</v>
      </c>
      <c r="H88" s="2" t="s">
        <v>20</v>
      </c>
      <c r="I88" s="6" t="s">
        <v>187</v>
      </c>
    </row>
    <row r="89" spans="1:9">
      <c r="A89" s="1" t="s">
        <v>188</v>
      </c>
      <c r="B89" s="2" t="s">
        <v>43</v>
      </c>
      <c r="C89" s="2" t="s">
        <v>35</v>
      </c>
      <c r="D89" s="2" t="s">
        <v>36</v>
      </c>
      <c r="E89" s="3">
        <v>33483</v>
      </c>
      <c r="F89" s="4">
        <v>42610</v>
      </c>
      <c r="G89" s="5">
        <v>4</v>
      </c>
      <c r="H89" s="2" t="s">
        <v>29</v>
      </c>
      <c r="I89" s="6" t="s">
        <v>189</v>
      </c>
    </row>
    <row r="90" spans="1:9">
      <c r="A90" s="1" t="s">
        <v>190</v>
      </c>
      <c r="B90" s="2" t="s">
        <v>40</v>
      </c>
      <c r="C90" s="2" t="s">
        <v>18</v>
      </c>
      <c r="D90" s="2" t="s">
        <v>19</v>
      </c>
      <c r="E90" s="3">
        <v>55303</v>
      </c>
      <c r="F90" s="4">
        <v>42617</v>
      </c>
      <c r="G90" s="5">
        <v>4</v>
      </c>
      <c r="H90" s="2" t="s">
        <v>29</v>
      </c>
      <c r="I90" s="6" t="s">
        <v>79</v>
      </c>
    </row>
    <row r="91" spans="1:9">
      <c r="A91" s="1" t="s">
        <v>191</v>
      </c>
      <c r="B91" s="2" t="s">
        <v>43</v>
      </c>
      <c r="C91" s="2" t="s">
        <v>35</v>
      </c>
      <c r="D91" s="2" t="s">
        <v>11</v>
      </c>
      <c r="E91" s="3">
        <v>63434</v>
      </c>
      <c r="F91" s="4">
        <v>42624</v>
      </c>
      <c r="G91" s="5">
        <v>3</v>
      </c>
      <c r="H91" s="2" t="s">
        <v>11</v>
      </c>
      <c r="I91" s="6" t="s">
        <v>192</v>
      </c>
    </row>
    <row r="92" spans="1:9">
      <c r="A92" s="1" t="s">
        <v>193</v>
      </c>
      <c r="B92" s="2" t="s">
        <v>32</v>
      </c>
      <c r="C92" s="2" t="s">
        <v>11</v>
      </c>
      <c r="D92" s="2" t="s">
        <v>66</v>
      </c>
      <c r="E92" s="3">
        <v>38830</v>
      </c>
      <c r="F92" s="4">
        <v>42631</v>
      </c>
      <c r="G92" s="5">
        <v>3</v>
      </c>
      <c r="H92" s="2" t="s">
        <v>20</v>
      </c>
      <c r="I92" s="6" t="s">
        <v>79</v>
      </c>
    </row>
    <row r="93" spans="1:9">
      <c r="A93" s="1" t="s">
        <v>194</v>
      </c>
      <c r="B93" s="2" t="s">
        <v>11</v>
      </c>
      <c r="C93" s="2" t="s">
        <v>44</v>
      </c>
      <c r="D93" s="2" t="s">
        <v>49</v>
      </c>
      <c r="E93" s="3">
        <v>50741</v>
      </c>
      <c r="F93" s="4">
        <v>42638</v>
      </c>
      <c r="G93" s="5">
        <v>3</v>
      </c>
      <c r="H93" s="2" t="s">
        <v>14</v>
      </c>
      <c r="I93" s="6" t="s">
        <v>162</v>
      </c>
    </row>
    <row r="94" spans="1:9">
      <c r="A94" s="1" t="s">
        <v>195</v>
      </c>
      <c r="B94" s="2" t="s">
        <v>23</v>
      </c>
      <c r="C94" s="2" t="s">
        <v>18</v>
      </c>
      <c r="D94" s="2" t="s">
        <v>66</v>
      </c>
      <c r="E94" s="3">
        <v>69420</v>
      </c>
      <c r="F94" s="4">
        <v>42645</v>
      </c>
      <c r="G94" s="5">
        <v>1</v>
      </c>
      <c r="H94" s="2" t="s">
        <v>29</v>
      </c>
      <c r="I94" s="6" t="s">
        <v>125</v>
      </c>
    </row>
    <row r="95" spans="1:9">
      <c r="A95" s="1" t="s">
        <v>196</v>
      </c>
      <c r="B95" s="2" t="s">
        <v>32</v>
      </c>
      <c r="C95" s="2" t="s">
        <v>35</v>
      </c>
      <c r="D95" s="2" t="s">
        <v>11</v>
      </c>
      <c r="E95" s="3">
        <v>80588</v>
      </c>
      <c r="F95" s="4">
        <v>42652</v>
      </c>
      <c r="G95" s="5">
        <v>5</v>
      </c>
      <c r="H95" s="2" t="s">
        <v>29</v>
      </c>
      <c r="I95" s="6" t="s">
        <v>106</v>
      </c>
    </row>
    <row r="96" spans="1:9">
      <c r="A96" s="1" t="s">
        <v>197</v>
      </c>
      <c r="B96" s="2" t="s">
        <v>23</v>
      </c>
      <c r="C96" s="2" t="s">
        <v>11</v>
      </c>
      <c r="D96" s="2" t="s">
        <v>28</v>
      </c>
      <c r="E96" s="3">
        <v>76238</v>
      </c>
      <c r="F96" s="4">
        <v>42659</v>
      </c>
      <c r="G96" s="5">
        <v>4</v>
      </c>
      <c r="H96" s="2" t="s">
        <v>29</v>
      </c>
      <c r="I96" s="6" t="s">
        <v>198</v>
      </c>
    </row>
    <row r="97" spans="1:9">
      <c r="A97" s="1" t="s">
        <v>199</v>
      </c>
      <c r="B97" s="2" t="s">
        <v>56</v>
      </c>
      <c r="C97" s="2" t="s">
        <v>35</v>
      </c>
      <c r="D97" s="2" t="s">
        <v>36</v>
      </c>
      <c r="E97" s="3">
        <v>33264</v>
      </c>
      <c r="F97" s="4">
        <v>42666</v>
      </c>
      <c r="G97" s="5" t="s">
        <v>41</v>
      </c>
      <c r="H97" s="2" t="s">
        <v>37</v>
      </c>
      <c r="I97" s="6" t="s">
        <v>200</v>
      </c>
    </row>
    <row r="98" spans="1:9">
      <c r="A98" s="1" t="s">
        <v>201</v>
      </c>
      <c r="B98" s="2" t="s">
        <v>23</v>
      </c>
      <c r="C98" s="2" t="s">
        <v>12</v>
      </c>
      <c r="D98" s="2" t="s">
        <v>66</v>
      </c>
      <c r="E98" s="3">
        <v>96101</v>
      </c>
      <c r="F98" s="4">
        <v>42673</v>
      </c>
      <c r="G98" s="5" t="s">
        <v>41</v>
      </c>
      <c r="H98" s="2" t="s">
        <v>20</v>
      </c>
      <c r="I98" s="6" t="s">
        <v>202</v>
      </c>
    </row>
    <row r="99" spans="1:9">
      <c r="A99" s="1" t="s">
        <v>203</v>
      </c>
      <c r="B99" s="2" t="s">
        <v>32</v>
      </c>
      <c r="C99" s="2" t="s">
        <v>12</v>
      </c>
      <c r="D99" s="2" t="s">
        <v>28</v>
      </c>
      <c r="E99" s="3">
        <v>72939</v>
      </c>
      <c r="F99" s="4">
        <v>42680</v>
      </c>
      <c r="G99" s="5">
        <v>3</v>
      </c>
      <c r="H99" s="2" t="s">
        <v>11</v>
      </c>
      <c r="I99" s="6" t="s">
        <v>204</v>
      </c>
    </row>
    <row r="100" spans="1:9">
      <c r="A100" s="1" t="s">
        <v>205</v>
      </c>
      <c r="B100" s="2" t="s">
        <v>40</v>
      </c>
      <c r="C100" s="2" t="s">
        <v>18</v>
      </c>
      <c r="D100" s="2" t="s">
        <v>19</v>
      </c>
      <c r="E100" s="3">
        <v>89333</v>
      </c>
      <c r="F100" s="4">
        <v>42687</v>
      </c>
      <c r="G100" s="5">
        <v>1</v>
      </c>
      <c r="H100" s="2" t="s">
        <v>29</v>
      </c>
      <c r="I100" s="6" t="s">
        <v>206</v>
      </c>
    </row>
    <row r="101" spans="1:9">
      <c r="A101" s="1" t="s">
        <v>207</v>
      </c>
      <c r="B101" s="2" t="s">
        <v>56</v>
      </c>
      <c r="C101" s="2" t="s">
        <v>35</v>
      </c>
      <c r="D101" s="2" t="s">
        <v>66</v>
      </c>
      <c r="E101" s="3">
        <v>70470</v>
      </c>
      <c r="F101" s="4">
        <v>42694</v>
      </c>
      <c r="G101" s="5" t="s">
        <v>41</v>
      </c>
      <c r="H101" s="2" t="s">
        <v>29</v>
      </c>
      <c r="I101" s="6" t="s">
        <v>208</v>
      </c>
    </row>
    <row r="102" spans="1:9">
      <c r="A102" s="1" t="s">
        <v>209</v>
      </c>
      <c r="B102" s="2" t="s">
        <v>17</v>
      </c>
      <c r="C102" s="2" t="s">
        <v>44</v>
      </c>
      <c r="D102" s="2" t="s">
        <v>28</v>
      </c>
      <c r="E102" s="3">
        <v>70096</v>
      </c>
      <c r="F102" s="4">
        <v>42701</v>
      </c>
      <c r="G102" s="5">
        <v>4</v>
      </c>
      <c r="H102" s="2" t="s">
        <v>29</v>
      </c>
      <c r="I102" s="6" t="s">
        <v>210</v>
      </c>
    </row>
    <row r="103" spans="1:9">
      <c r="A103" s="1" t="s">
        <v>211</v>
      </c>
      <c r="B103" s="2" t="s">
        <v>56</v>
      </c>
      <c r="C103" s="2" t="s">
        <v>44</v>
      </c>
      <c r="D103" s="2" t="s">
        <v>11</v>
      </c>
      <c r="E103" s="3" t="s">
        <v>13</v>
      </c>
      <c r="F103" s="4">
        <v>42708</v>
      </c>
      <c r="G103" s="5">
        <v>2</v>
      </c>
      <c r="H103" s="2" t="s">
        <v>20</v>
      </c>
      <c r="I103" s="6" t="s">
        <v>212</v>
      </c>
    </row>
    <row r="104" spans="1:9">
      <c r="A104" s="1" t="s">
        <v>213</v>
      </c>
      <c r="B104" s="2" t="s">
        <v>56</v>
      </c>
      <c r="C104" s="2" t="s">
        <v>35</v>
      </c>
      <c r="D104" s="2" t="s">
        <v>19</v>
      </c>
      <c r="E104" s="3">
        <v>66503</v>
      </c>
      <c r="F104" s="4">
        <v>42715</v>
      </c>
      <c r="G104" s="5" t="s">
        <v>41</v>
      </c>
      <c r="H104" s="2" t="s">
        <v>29</v>
      </c>
      <c r="I104" s="6" t="s">
        <v>73</v>
      </c>
    </row>
    <row r="105" spans="1:9">
      <c r="A105" s="1" t="s">
        <v>214</v>
      </c>
      <c r="B105" s="2" t="s">
        <v>23</v>
      </c>
      <c r="C105" s="2" t="s">
        <v>18</v>
      </c>
      <c r="D105" s="2" t="s">
        <v>19</v>
      </c>
      <c r="E105" s="3">
        <v>42096</v>
      </c>
      <c r="F105" s="4">
        <v>42722</v>
      </c>
      <c r="G105" s="5" t="s">
        <v>41</v>
      </c>
      <c r="H105" s="2" t="s">
        <v>37</v>
      </c>
      <c r="I105" s="6" t="s">
        <v>215</v>
      </c>
    </row>
    <row r="106" spans="1:9">
      <c r="A106" s="1" t="s">
        <v>216</v>
      </c>
      <c r="B106" s="2" t="s">
        <v>23</v>
      </c>
      <c r="C106" s="2" t="s">
        <v>44</v>
      </c>
      <c r="D106" s="2" t="s">
        <v>11</v>
      </c>
      <c r="E106" s="3">
        <v>79145</v>
      </c>
      <c r="F106" s="4">
        <v>42729</v>
      </c>
      <c r="G106" s="5">
        <v>5</v>
      </c>
      <c r="H106" s="2" t="s">
        <v>20</v>
      </c>
      <c r="I106" s="6" t="s">
        <v>120</v>
      </c>
    </row>
    <row r="107" spans="1:9">
      <c r="A107" s="1" t="s">
        <v>217</v>
      </c>
      <c r="B107" s="2" t="s">
        <v>32</v>
      </c>
      <c r="C107" s="2" t="s">
        <v>11</v>
      </c>
      <c r="D107" s="2" t="s">
        <v>66</v>
      </c>
      <c r="E107" s="3">
        <v>61556</v>
      </c>
      <c r="F107" s="4">
        <v>42736</v>
      </c>
      <c r="G107" s="5">
        <v>1</v>
      </c>
      <c r="H107" s="2" t="s">
        <v>11</v>
      </c>
      <c r="I107" s="6" t="s">
        <v>212</v>
      </c>
    </row>
    <row r="108" spans="1:9">
      <c r="A108" s="1" t="s">
        <v>218</v>
      </c>
      <c r="B108" s="2" t="s">
        <v>11</v>
      </c>
      <c r="C108" s="2" t="s">
        <v>18</v>
      </c>
      <c r="D108" s="2" t="s">
        <v>49</v>
      </c>
      <c r="E108" s="3">
        <v>87963</v>
      </c>
      <c r="F108" s="4">
        <v>42743</v>
      </c>
      <c r="G108" s="5">
        <v>3</v>
      </c>
      <c r="H108" s="2" t="s">
        <v>20</v>
      </c>
      <c r="I108" s="6" t="s">
        <v>15</v>
      </c>
    </row>
    <row r="109" spans="1:9">
      <c r="A109" s="1" t="s">
        <v>219</v>
      </c>
      <c r="B109" s="2" t="s">
        <v>17</v>
      </c>
      <c r="C109" s="2" t="s">
        <v>35</v>
      </c>
      <c r="D109" s="2" t="s">
        <v>11</v>
      </c>
      <c r="E109" s="3">
        <v>48325</v>
      </c>
      <c r="F109" s="4">
        <v>42750</v>
      </c>
      <c r="G109" s="5" t="s">
        <v>41</v>
      </c>
      <c r="H109" s="2" t="s">
        <v>29</v>
      </c>
      <c r="I109" s="6" t="s">
        <v>220</v>
      </c>
    </row>
    <row r="110" spans="1:9">
      <c r="A110" s="1" t="s">
        <v>221</v>
      </c>
      <c r="B110" s="2" t="s">
        <v>40</v>
      </c>
      <c r="C110" s="2" t="s">
        <v>44</v>
      </c>
      <c r="D110" s="2" t="s">
        <v>66</v>
      </c>
      <c r="E110" s="3">
        <v>86412</v>
      </c>
      <c r="F110" s="4">
        <v>42757</v>
      </c>
      <c r="G110" s="5">
        <v>2</v>
      </c>
      <c r="H110" s="2" t="s">
        <v>37</v>
      </c>
      <c r="I110" s="6" t="s">
        <v>77</v>
      </c>
    </row>
    <row r="111" spans="1:9">
      <c r="A111" s="1" t="s">
        <v>222</v>
      </c>
      <c r="B111" s="2" t="s">
        <v>40</v>
      </c>
      <c r="C111" s="2" t="s">
        <v>18</v>
      </c>
      <c r="D111" s="2" t="s">
        <v>11</v>
      </c>
      <c r="E111" s="3">
        <v>66761</v>
      </c>
      <c r="F111" s="4">
        <v>42764</v>
      </c>
      <c r="G111" s="5">
        <v>1</v>
      </c>
      <c r="H111" s="2" t="s">
        <v>11</v>
      </c>
      <c r="I111" s="6" t="s">
        <v>223</v>
      </c>
    </row>
    <row r="112" spans="1:9">
      <c r="A112" s="1" t="s">
        <v>224</v>
      </c>
      <c r="B112" s="2" t="s">
        <v>32</v>
      </c>
      <c r="C112" s="2" t="s">
        <v>11</v>
      </c>
      <c r="D112" s="2" t="s">
        <v>36</v>
      </c>
      <c r="E112" s="3">
        <v>88850</v>
      </c>
      <c r="F112" s="4">
        <v>42771</v>
      </c>
      <c r="G112" s="5">
        <v>1</v>
      </c>
      <c r="H112" s="2" t="s">
        <v>37</v>
      </c>
      <c r="I112" s="6" t="s">
        <v>225</v>
      </c>
    </row>
    <row r="113" spans="1:9">
      <c r="A113" s="1" t="s">
        <v>226</v>
      </c>
      <c r="B113" s="2" t="s">
        <v>43</v>
      </c>
      <c r="C113" s="2" t="s">
        <v>27</v>
      </c>
      <c r="D113" s="2" t="s">
        <v>36</v>
      </c>
      <c r="E113" s="3">
        <v>31293</v>
      </c>
      <c r="F113" s="4" t="s">
        <v>11</v>
      </c>
      <c r="G113" s="5">
        <v>2</v>
      </c>
      <c r="H113" s="2" t="s">
        <v>37</v>
      </c>
      <c r="I113" s="6" t="s">
        <v>227</v>
      </c>
    </row>
    <row r="114" spans="1:9">
      <c r="A114" s="1" t="s">
        <v>228</v>
      </c>
      <c r="B114" s="2" t="s">
        <v>43</v>
      </c>
      <c r="C114" s="2" t="s">
        <v>35</v>
      </c>
      <c r="D114" s="2" t="s">
        <v>28</v>
      </c>
      <c r="E114" s="3">
        <v>34306</v>
      </c>
      <c r="F114" s="4">
        <v>42785</v>
      </c>
      <c r="G114" s="5">
        <v>5</v>
      </c>
      <c r="H114" s="2" t="s">
        <v>37</v>
      </c>
      <c r="I114" s="6" t="s">
        <v>159</v>
      </c>
    </row>
    <row r="115" spans="1:9">
      <c r="A115" s="1" t="s">
        <v>229</v>
      </c>
      <c r="B115" s="2" t="s">
        <v>17</v>
      </c>
      <c r="C115" s="2" t="s">
        <v>12</v>
      </c>
      <c r="D115" s="2" t="s">
        <v>36</v>
      </c>
      <c r="E115" s="3">
        <v>78330</v>
      </c>
      <c r="F115" s="4">
        <v>42792</v>
      </c>
      <c r="G115" s="5" t="s">
        <v>41</v>
      </c>
      <c r="H115" s="2" t="s">
        <v>20</v>
      </c>
      <c r="I115" s="6" t="s">
        <v>210</v>
      </c>
    </row>
    <row r="116" spans="1:9">
      <c r="A116" s="1" t="s">
        <v>230</v>
      </c>
      <c r="B116" s="2" t="s">
        <v>23</v>
      </c>
      <c r="C116" s="2" t="s">
        <v>35</v>
      </c>
      <c r="D116" s="2" t="s">
        <v>28</v>
      </c>
      <c r="E116" s="3">
        <v>47653</v>
      </c>
      <c r="F116" s="4">
        <v>42799</v>
      </c>
      <c r="G116" s="5">
        <v>1</v>
      </c>
      <c r="H116" s="2" t="s">
        <v>29</v>
      </c>
      <c r="I116" s="6" t="s">
        <v>231</v>
      </c>
    </row>
    <row r="117" spans="1:9">
      <c r="A117" s="1" t="s">
        <v>232</v>
      </c>
      <c r="B117" s="2" t="s">
        <v>17</v>
      </c>
      <c r="C117" s="2" t="s">
        <v>44</v>
      </c>
      <c r="D117" s="2" t="s">
        <v>49</v>
      </c>
      <c r="E117" s="3">
        <v>44627</v>
      </c>
      <c r="F117" s="4">
        <v>42806</v>
      </c>
      <c r="G117" s="5">
        <v>4</v>
      </c>
      <c r="H117" s="2" t="s">
        <v>11</v>
      </c>
      <c r="I117" s="6" t="s">
        <v>151</v>
      </c>
    </row>
    <row r="118" spans="1:9">
      <c r="A118" s="1" t="s">
        <v>233</v>
      </c>
      <c r="B118" s="2" t="s">
        <v>56</v>
      </c>
      <c r="C118" s="2" t="s">
        <v>18</v>
      </c>
      <c r="D118" s="2" t="s">
        <v>19</v>
      </c>
      <c r="E118" s="3">
        <v>92343</v>
      </c>
      <c r="F118" s="4">
        <v>42813</v>
      </c>
      <c r="G118" s="5">
        <v>4</v>
      </c>
      <c r="H118" s="2" t="s">
        <v>37</v>
      </c>
      <c r="I118" s="6" t="s">
        <v>79</v>
      </c>
    </row>
    <row r="119" spans="1:9">
      <c r="A119" s="1" t="s">
        <v>234</v>
      </c>
      <c r="B119" s="2" t="s">
        <v>56</v>
      </c>
      <c r="C119" s="2" t="s">
        <v>44</v>
      </c>
      <c r="D119" s="2" t="s">
        <v>66</v>
      </c>
      <c r="E119" s="3">
        <v>38837</v>
      </c>
      <c r="F119" s="4">
        <v>42820</v>
      </c>
      <c r="G119" s="5">
        <v>5</v>
      </c>
      <c r="H119" s="2" t="s">
        <v>37</v>
      </c>
      <c r="I119" s="6" t="s">
        <v>159</v>
      </c>
    </row>
    <row r="120" spans="1:9">
      <c r="A120" s="1" t="s">
        <v>235</v>
      </c>
      <c r="B120" s="2" t="s">
        <v>56</v>
      </c>
      <c r="C120" s="2" t="s">
        <v>44</v>
      </c>
      <c r="D120" s="2" t="s">
        <v>11</v>
      </c>
      <c r="E120" s="3">
        <v>73483</v>
      </c>
      <c r="F120" s="4">
        <v>42827</v>
      </c>
      <c r="G120" s="5">
        <v>1</v>
      </c>
      <c r="H120" s="2" t="s">
        <v>11</v>
      </c>
      <c r="I120" s="6" t="s">
        <v>236</v>
      </c>
    </row>
    <row r="121" spans="1:9">
      <c r="A121" s="1" t="s">
        <v>237</v>
      </c>
      <c r="B121" s="2" t="s">
        <v>43</v>
      </c>
      <c r="C121" s="2" t="s">
        <v>27</v>
      </c>
      <c r="D121" s="2" t="s">
        <v>36</v>
      </c>
      <c r="E121" s="3">
        <v>95032</v>
      </c>
      <c r="F121" s="4">
        <v>42834</v>
      </c>
      <c r="G121" s="5">
        <v>3</v>
      </c>
      <c r="H121" s="2" t="s">
        <v>11</v>
      </c>
      <c r="I121" s="6" t="s">
        <v>238</v>
      </c>
    </row>
    <row r="122" spans="1:9">
      <c r="A122" s="1" t="s">
        <v>239</v>
      </c>
      <c r="B122" s="2" t="s">
        <v>17</v>
      </c>
      <c r="C122" s="2" t="s">
        <v>27</v>
      </c>
      <c r="D122" s="2" t="s">
        <v>66</v>
      </c>
      <c r="E122" s="3">
        <v>44358</v>
      </c>
      <c r="F122" s="4">
        <v>42841</v>
      </c>
      <c r="G122" s="5" t="s">
        <v>41</v>
      </c>
      <c r="H122" s="2" t="s">
        <v>37</v>
      </c>
      <c r="I122" s="6" t="s">
        <v>73</v>
      </c>
    </row>
    <row r="123" spans="1:9">
      <c r="A123" s="1" t="s">
        <v>240</v>
      </c>
      <c r="B123" s="2" t="s">
        <v>11</v>
      </c>
      <c r="C123" s="2" t="s">
        <v>35</v>
      </c>
      <c r="D123" s="2" t="s">
        <v>28</v>
      </c>
      <c r="E123" s="3" t="s">
        <v>13</v>
      </c>
      <c r="F123" s="4" t="s">
        <v>11</v>
      </c>
      <c r="G123" s="5">
        <v>5</v>
      </c>
      <c r="H123" s="2" t="s">
        <v>14</v>
      </c>
      <c r="I123" s="6" t="s">
        <v>241</v>
      </c>
    </row>
    <row r="124" spans="1:9">
      <c r="A124" s="1" t="s">
        <v>242</v>
      </c>
      <c r="B124" s="2" t="s">
        <v>43</v>
      </c>
      <c r="C124" s="2" t="s">
        <v>27</v>
      </c>
      <c r="D124" s="2" t="s">
        <v>28</v>
      </c>
      <c r="E124" s="3">
        <v>45676</v>
      </c>
      <c r="F124" s="4">
        <v>42855</v>
      </c>
      <c r="G124" s="5">
        <v>2</v>
      </c>
      <c r="H124" s="2" t="s">
        <v>11</v>
      </c>
      <c r="I124" s="6" t="s">
        <v>243</v>
      </c>
    </row>
    <row r="125" spans="1:9">
      <c r="A125" s="1" t="s">
        <v>244</v>
      </c>
      <c r="B125" s="2" t="s">
        <v>56</v>
      </c>
      <c r="C125" s="2" t="s">
        <v>27</v>
      </c>
      <c r="D125" s="2" t="s">
        <v>19</v>
      </c>
      <c r="E125" s="3">
        <v>52036</v>
      </c>
      <c r="F125" s="4">
        <v>42862</v>
      </c>
      <c r="G125" s="5">
        <v>3</v>
      </c>
      <c r="H125" s="2" t="s">
        <v>29</v>
      </c>
      <c r="I125" s="6" t="s">
        <v>245</v>
      </c>
    </row>
    <row r="126" spans="1:9">
      <c r="A126" s="1" t="s">
        <v>246</v>
      </c>
      <c r="B126" s="2" t="s">
        <v>32</v>
      </c>
      <c r="C126" s="2" t="s">
        <v>11</v>
      </c>
      <c r="D126" s="2" t="s">
        <v>19</v>
      </c>
      <c r="E126" s="3">
        <v>30357</v>
      </c>
      <c r="F126" s="4">
        <v>42869</v>
      </c>
      <c r="G126" s="5">
        <v>5</v>
      </c>
      <c r="H126" s="2" t="s">
        <v>29</v>
      </c>
      <c r="I126" s="6" t="s">
        <v>184</v>
      </c>
    </row>
    <row r="127" spans="1:9">
      <c r="A127" s="1" t="s">
        <v>247</v>
      </c>
      <c r="B127" s="2" t="s">
        <v>26</v>
      </c>
      <c r="C127" s="2" t="s">
        <v>35</v>
      </c>
      <c r="D127" s="2" t="s">
        <v>11</v>
      </c>
      <c r="E127" s="3">
        <v>60034</v>
      </c>
      <c r="F127" s="4">
        <v>42876</v>
      </c>
      <c r="G127" s="5">
        <v>1</v>
      </c>
      <c r="H127" s="2" t="s">
        <v>37</v>
      </c>
      <c r="I127" s="6" t="s">
        <v>248</v>
      </c>
    </row>
    <row r="128" spans="1:9">
      <c r="A128" s="1" t="s">
        <v>249</v>
      </c>
      <c r="B128" s="2" t="s">
        <v>26</v>
      </c>
      <c r="C128" s="2" t="s">
        <v>12</v>
      </c>
      <c r="D128" s="2" t="s">
        <v>11</v>
      </c>
      <c r="E128" s="3">
        <v>90019</v>
      </c>
      <c r="F128" s="4">
        <v>42883</v>
      </c>
      <c r="G128" s="5">
        <v>5</v>
      </c>
      <c r="H128" s="2" t="s">
        <v>11</v>
      </c>
      <c r="I128" s="6" t="s">
        <v>250</v>
      </c>
    </row>
    <row r="129" spans="1:9">
      <c r="A129" s="1" t="s">
        <v>251</v>
      </c>
      <c r="B129" s="2" t="s">
        <v>56</v>
      </c>
      <c r="C129" s="2" t="s">
        <v>11</v>
      </c>
      <c r="D129" s="2" t="s">
        <v>19</v>
      </c>
      <c r="E129" s="3">
        <v>71494</v>
      </c>
      <c r="F129" s="4">
        <v>42890</v>
      </c>
      <c r="G129" s="5">
        <v>3</v>
      </c>
      <c r="H129" s="2" t="s">
        <v>29</v>
      </c>
      <c r="I129" s="6" t="s">
        <v>252</v>
      </c>
    </row>
    <row r="130" spans="1:9">
      <c r="A130" s="1" t="s">
        <v>253</v>
      </c>
      <c r="B130" s="2" t="s">
        <v>26</v>
      </c>
      <c r="C130" s="2" t="s">
        <v>12</v>
      </c>
      <c r="D130" s="2" t="s">
        <v>28</v>
      </c>
      <c r="E130" s="3">
        <v>91953</v>
      </c>
      <c r="F130" s="4">
        <v>42897</v>
      </c>
      <c r="G130" s="5">
        <v>2</v>
      </c>
      <c r="H130" s="2" t="s">
        <v>29</v>
      </c>
      <c r="I130" s="6" t="s">
        <v>91</v>
      </c>
    </row>
    <row r="131" spans="1:9">
      <c r="A131" s="1" t="s">
        <v>254</v>
      </c>
      <c r="B131" s="2" t="s">
        <v>43</v>
      </c>
      <c r="C131" s="2" t="s">
        <v>27</v>
      </c>
      <c r="D131" s="2" t="s">
        <v>28</v>
      </c>
      <c r="E131" s="3">
        <v>30402</v>
      </c>
      <c r="F131" s="4">
        <v>42904</v>
      </c>
      <c r="G131" s="5">
        <v>1</v>
      </c>
      <c r="H131" s="2" t="s">
        <v>11</v>
      </c>
      <c r="I131" s="6" t="s">
        <v>255</v>
      </c>
    </row>
    <row r="132" spans="1:9">
      <c r="A132" s="1" t="s">
        <v>256</v>
      </c>
      <c r="B132" s="2" t="s">
        <v>56</v>
      </c>
      <c r="C132" s="2" t="s">
        <v>11</v>
      </c>
      <c r="D132" s="2" t="s">
        <v>49</v>
      </c>
      <c r="E132" s="3">
        <v>62994</v>
      </c>
      <c r="F132" s="4">
        <v>42911</v>
      </c>
      <c r="G132" s="5" t="s">
        <v>41</v>
      </c>
      <c r="H132" s="2" t="s">
        <v>11</v>
      </c>
      <c r="I132" s="6" t="s">
        <v>116</v>
      </c>
    </row>
    <row r="133" spans="1:9">
      <c r="A133" s="1" t="s">
        <v>257</v>
      </c>
      <c r="B133" s="2" t="s">
        <v>23</v>
      </c>
      <c r="C133" s="2" t="s">
        <v>27</v>
      </c>
      <c r="D133" s="2" t="s">
        <v>36</v>
      </c>
      <c r="E133" s="3">
        <v>48289</v>
      </c>
      <c r="F133" s="4" t="s">
        <v>11</v>
      </c>
      <c r="G133" s="5">
        <v>3</v>
      </c>
      <c r="H133" s="2" t="s">
        <v>29</v>
      </c>
      <c r="I133" s="6" t="s">
        <v>47</v>
      </c>
    </row>
    <row r="134" spans="1:9">
      <c r="A134" s="1" t="s">
        <v>258</v>
      </c>
      <c r="B134" s="2" t="s">
        <v>40</v>
      </c>
      <c r="C134" s="2" t="s">
        <v>44</v>
      </c>
      <c r="D134" s="2" t="s">
        <v>19</v>
      </c>
      <c r="E134" s="3">
        <v>34402</v>
      </c>
      <c r="F134" s="4">
        <v>42925</v>
      </c>
      <c r="G134" s="5">
        <v>3</v>
      </c>
      <c r="H134" s="2" t="s">
        <v>20</v>
      </c>
      <c r="I134" s="6" t="s">
        <v>110</v>
      </c>
    </row>
    <row r="135" spans="1:9">
      <c r="A135" s="1" t="s">
        <v>259</v>
      </c>
      <c r="B135" s="2" t="s">
        <v>17</v>
      </c>
      <c r="C135" s="2" t="s">
        <v>18</v>
      </c>
      <c r="D135" s="2" t="s">
        <v>28</v>
      </c>
      <c r="E135" s="3">
        <v>38678</v>
      </c>
      <c r="F135" s="4">
        <v>42932</v>
      </c>
      <c r="G135" s="5">
        <v>3</v>
      </c>
      <c r="H135" s="2" t="s">
        <v>20</v>
      </c>
      <c r="I135" s="6" t="s">
        <v>260</v>
      </c>
    </row>
    <row r="136" spans="1:9">
      <c r="A136" s="1" t="s">
        <v>261</v>
      </c>
      <c r="B136" s="2" t="s">
        <v>43</v>
      </c>
      <c r="C136" s="2" t="s">
        <v>18</v>
      </c>
      <c r="D136" s="2" t="s">
        <v>19</v>
      </c>
      <c r="E136" s="3">
        <v>45758</v>
      </c>
      <c r="F136" s="4">
        <v>42939</v>
      </c>
      <c r="G136" s="5">
        <v>3</v>
      </c>
      <c r="H136" s="2" t="s">
        <v>11</v>
      </c>
      <c r="I136" s="6" t="s">
        <v>227</v>
      </c>
    </row>
    <row r="137" spans="1:9">
      <c r="A137" s="1" t="s">
        <v>262</v>
      </c>
      <c r="B137" s="2" t="s">
        <v>17</v>
      </c>
      <c r="C137" s="2" t="s">
        <v>44</v>
      </c>
      <c r="D137" s="2" t="s">
        <v>36</v>
      </c>
      <c r="E137" s="3">
        <v>62476</v>
      </c>
      <c r="F137" s="4">
        <v>42946</v>
      </c>
      <c r="G137" s="5">
        <v>1</v>
      </c>
      <c r="H137" s="2" t="s">
        <v>20</v>
      </c>
      <c r="I137" s="6" t="s">
        <v>140</v>
      </c>
    </row>
    <row r="138" spans="1:9">
      <c r="A138" s="1" t="s">
        <v>263</v>
      </c>
      <c r="B138" s="2" t="s">
        <v>11</v>
      </c>
      <c r="C138" s="2" t="s">
        <v>35</v>
      </c>
      <c r="D138" s="2" t="s">
        <v>49</v>
      </c>
      <c r="E138" s="3">
        <v>39280</v>
      </c>
      <c r="F138" s="4">
        <v>42953</v>
      </c>
      <c r="G138" s="5">
        <v>3</v>
      </c>
      <c r="H138" s="2" t="s">
        <v>37</v>
      </c>
      <c r="I138" s="6" t="s">
        <v>101</v>
      </c>
    </row>
    <row r="139" spans="1:9">
      <c r="A139" s="1" t="s">
        <v>264</v>
      </c>
      <c r="B139" s="2" t="s">
        <v>32</v>
      </c>
      <c r="C139" s="2" t="s">
        <v>12</v>
      </c>
      <c r="D139" s="2" t="s">
        <v>36</v>
      </c>
      <c r="E139" s="3">
        <v>60335</v>
      </c>
      <c r="F139" s="4">
        <v>42960</v>
      </c>
      <c r="G139" s="5">
        <v>4</v>
      </c>
      <c r="H139" s="2" t="s">
        <v>20</v>
      </c>
      <c r="I139" s="6" t="s">
        <v>131</v>
      </c>
    </row>
    <row r="140" spans="1:9">
      <c r="A140" s="1" t="s">
        <v>265</v>
      </c>
      <c r="B140" s="2" t="s">
        <v>43</v>
      </c>
      <c r="C140" s="2" t="s">
        <v>18</v>
      </c>
      <c r="D140" s="2" t="s">
        <v>19</v>
      </c>
      <c r="E140" s="3">
        <v>84968</v>
      </c>
      <c r="F140" s="4">
        <v>42967</v>
      </c>
      <c r="G140" s="5" t="s">
        <v>41</v>
      </c>
      <c r="H140" s="2" t="s">
        <v>11</v>
      </c>
      <c r="I140" s="6" t="s">
        <v>266</v>
      </c>
    </row>
    <row r="141" spans="1:9">
      <c r="A141" s="1" t="s">
        <v>267</v>
      </c>
      <c r="B141" s="2" t="s">
        <v>43</v>
      </c>
      <c r="C141" s="2" t="s">
        <v>44</v>
      </c>
      <c r="D141" s="2" t="s">
        <v>66</v>
      </c>
      <c r="E141" s="3">
        <v>84750</v>
      </c>
      <c r="F141" s="4">
        <v>42974</v>
      </c>
      <c r="G141" s="5">
        <v>4</v>
      </c>
      <c r="H141" s="2" t="s">
        <v>37</v>
      </c>
      <c r="I141" s="6" t="s">
        <v>62</v>
      </c>
    </row>
    <row r="142" spans="1:9">
      <c r="A142" s="1" t="s">
        <v>268</v>
      </c>
      <c r="B142" s="2" t="s">
        <v>56</v>
      </c>
      <c r="C142" s="2" t="s">
        <v>35</v>
      </c>
      <c r="D142" s="2" t="s">
        <v>11</v>
      </c>
      <c r="E142" s="3">
        <v>73348</v>
      </c>
      <c r="F142" s="4">
        <v>42981</v>
      </c>
      <c r="G142" s="5">
        <v>2</v>
      </c>
      <c r="H142" s="2" t="s">
        <v>11</v>
      </c>
      <c r="I142" s="6" t="s">
        <v>173</v>
      </c>
    </row>
    <row r="143" spans="1:9">
      <c r="A143" s="1" t="s">
        <v>269</v>
      </c>
      <c r="B143" s="2" t="s">
        <v>43</v>
      </c>
      <c r="C143" s="2" t="s">
        <v>27</v>
      </c>
      <c r="D143" s="2" t="s">
        <v>28</v>
      </c>
      <c r="E143" s="3" t="s">
        <v>13</v>
      </c>
      <c r="F143" s="4">
        <v>42988</v>
      </c>
      <c r="G143" s="5">
        <v>4</v>
      </c>
      <c r="H143" s="2" t="s">
        <v>20</v>
      </c>
      <c r="I143" s="6" t="s">
        <v>15</v>
      </c>
    </row>
    <row r="144" spans="1:9">
      <c r="A144" s="1" t="s">
        <v>270</v>
      </c>
      <c r="B144" s="2" t="s">
        <v>32</v>
      </c>
      <c r="C144" s="2" t="s">
        <v>44</v>
      </c>
      <c r="D144" s="2" t="s">
        <v>28</v>
      </c>
      <c r="E144" s="3">
        <v>66882</v>
      </c>
      <c r="F144" s="4">
        <v>42995</v>
      </c>
      <c r="G144" s="5">
        <v>5</v>
      </c>
      <c r="H144" s="2" t="s">
        <v>20</v>
      </c>
      <c r="I144" s="6" t="s">
        <v>87</v>
      </c>
    </row>
    <row r="145" spans="1:9">
      <c r="A145" s="1" t="s">
        <v>271</v>
      </c>
      <c r="B145" s="2" t="s">
        <v>23</v>
      </c>
      <c r="C145" s="2" t="s">
        <v>44</v>
      </c>
      <c r="D145" s="2" t="s">
        <v>11</v>
      </c>
      <c r="E145" s="3">
        <v>86775</v>
      </c>
      <c r="F145" s="4">
        <v>43002</v>
      </c>
      <c r="G145" s="5">
        <v>3</v>
      </c>
      <c r="H145" s="2" t="s">
        <v>20</v>
      </c>
      <c r="I145" s="6" t="s">
        <v>97</v>
      </c>
    </row>
    <row r="146" spans="1:9">
      <c r="A146" s="1" t="s">
        <v>272</v>
      </c>
      <c r="B146" s="2" t="s">
        <v>43</v>
      </c>
      <c r="C146" s="2" t="s">
        <v>27</v>
      </c>
      <c r="D146" s="2" t="s">
        <v>49</v>
      </c>
      <c r="E146" s="3">
        <v>91620</v>
      </c>
      <c r="F146" s="4">
        <v>43009</v>
      </c>
      <c r="G146" s="5" t="s">
        <v>41</v>
      </c>
      <c r="H146" s="2" t="s">
        <v>11</v>
      </c>
      <c r="I146" s="6" t="s">
        <v>273</v>
      </c>
    </row>
    <row r="147" spans="1:9">
      <c r="A147" s="1" t="s">
        <v>274</v>
      </c>
      <c r="B147" s="2" t="s">
        <v>17</v>
      </c>
      <c r="C147" s="2" t="s">
        <v>11</v>
      </c>
      <c r="D147" s="2" t="s">
        <v>11</v>
      </c>
      <c r="E147" s="3">
        <v>94148</v>
      </c>
      <c r="F147" s="4">
        <v>43016</v>
      </c>
      <c r="G147" s="5">
        <v>2</v>
      </c>
      <c r="H147" s="2" t="s">
        <v>11</v>
      </c>
      <c r="I147" s="6" t="s">
        <v>275</v>
      </c>
    </row>
    <row r="148" spans="1:9">
      <c r="A148" s="1" t="s">
        <v>276</v>
      </c>
      <c r="B148" s="2" t="s">
        <v>40</v>
      </c>
      <c r="C148" s="2" t="s">
        <v>27</v>
      </c>
      <c r="D148" s="2" t="s">
        <v>66</v>
      </c>
      <c r="E148" s="3">
        <v>35627</v>
      </c>
      <c r="F148" s="4">
        <v>43023</v>
      </c>
      <c r="G148" s="5">
        <v>5</v>
      </c>
      <c r="H148" s="2" t="s">
        <v>37</v>
      </c>
      <c r="I148" s="6" t="s">
        <v>260</v>
      </c>
    </row>
    <row r="149" spans="1:9">
      <c r="A149" s="1" t="s">
        <v>277</v>
      </c>
      <c r="B149" s="2" t="s">
        <v>26</v>
      </c>
      <c r="C149" s="2" t="s">
        <v>44</v>
      </c>
      <c r="D149" s="2" t="s">
        <v>28</v>
      </c>
      <c r="E149" s="3">
        <v>57141</v>
      </c>
      <c r="F149" s="4">
        <v>43030</v>
      </c>
      <c r="G149" s="5">
        <v>2</v>
      </c>
      <c r="H149" s="2" t="s">
        <v>11</v>
      </c>
      <c r="I149" s="6" t="s">
        <v>266</v>
      </c>
    </row>
    <row r="150" spans="1:9">
      <c r="A150" s="1" t="s">
        <v>278</v>
      </c>
      <c r="B150" s="2" t="s">
        <v>56</v>
      </c>
      <c r="C150" s="2" t="s">
        <v>27</v>
      </c>
      <c r="D150" s="2" t="s">
        <v>66</v>
      </c>
      <c r="E150" s="3">
        <v>65270</v>
      </c>
      <c r="F150" s="4">
        <v>43037</v>
      </c>
      <c r="G150" s="5">
        <v>1</v>
      </c>
      <c r="H150" s="2" t="s">
        <v>11</v>
      </c>
      <c r="I150" s="6" t="s">
        <v>279</v>
      </c>
    </row>
    <row r="151" spans="1:9">
      <c r="A151" s="1" t="s">
        <v>280</v>
      </c>
      <c r="B151" s="2" t="s">
        <v>56</v>
      </c>
      <c r="C151" s="2" t="s">
        <v>11</v>
      </c>
      <c r="D151" s="2" t="s">
        <v>49</v>
      </c>
      <c r="E151" s="3">
        <v>67335</v>
      </c>
      <c r="F151" s="4">
        <v>43044</v>
      </c>
      <c r="G151" s="5">
        <v>1</v>
      </c>
      <c r="H151" s="2" t="s">
        <v>20</v>
      </c>
      <c r="I151" s="6" t="s">
        <v>146</v>
      </c>
    </row>
    <row r="152" spans="1:9">
      <c r="A152" s="7" t="s">
        <v>281</v>
      </c>
      <c r="B152" s="8" t="s">
        <v>40</v>
      </c>
      <c r="C152" s="8" t="s">
        <v>44</v>
      </c>
      <c r="D152" s="8" t="s">
        <v>36</v>
      </c>
      <c r="E152" s="9">
        <v>98475</v>
      </c>
      <c r="F152" s="10">
        <v>43051</v>
      </c>
      <c r="G152" s="11">
        <v>5</v>
      </c>
      <c r="H152" s="8" t="s">
        <v>20</v>
      </c>
      <c r="I152" s="12" t="s">
        <v>282</v>
      </c>
    </row>
  </sheetData>
  <mergeCells count="1">
    <mergeCell ref="A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2"/>
  <sheetViews>
    <sheetView tabSelected="1" topLeftCell="H20" workbookViewId="0">
      <selection activeCell="T34" sqref="T34:Y34"/>
    </sheetView>
  </sheetViews>
  <sheetFormatPr defaultRowHeight="15"/>
  <cols>
    <col min="1" max="1" width="12.42578125" customWidth="1"/>
    <col min="2" max="2" width="10.7109375" bestFit="1" customWidth="1"/>
    <col min="3" max="3" width="12.7109375" customWidth="1"/>
    <col min="4" max="4" width="9.85546875" bestFit="1" customWidth="1"/>
    <col min="6" max="6" width="14.28515625" customWidth="1"/>
    <col min="7" max="7" width="14" customWidth="1"/>
    <col min="8" max="8" width="11.85546875" customWidth="1"/>
    <col min="9" max="9" width="21.5703125" bestFit="1" customWidth="1"/>
    <col min="11" max="11" width="18.28515625" customWidth="1"/>
    <col min="12" max="12" width="7.5703125" customWidth="1"/>
    <col min="13" max="13" width="6.85546875" customWidth="1"/>
    <col min="14" max="14" width="6.28515625" customWidth="1"/>
    <col min="15" max="15" width="9.7109375" customWidth="1"/>
    <col min="16" max="16" width="9.28515625" customWidth="1"/>
    <col min="17" max="17" width="9.140625" customWidth="1"/>
    <col min="18" max="18" width="15.28515625" customWidth="1"/>
    <col min="19" max="19" width="13.140625" customWidth="1"/>
    <col min="20" max="20" width="13.42578125" customWidth="1"/>
    <col min="21" max="21" width="11.7109375" customWidth="1"/>
    <col min="22" max="22" width="11.28515625" customWidth="1"/>
    <col min="23" max="23" width="10.28515625" customWidth="1"/>
    <col min="24" max="24" width="11.85546875" customWidth="1"/>
    <col min="25" max="25" width="16.140625" customWidth="1"/>
    <col min="26" max="26" width="15.28515625" customWidth="1"/>
    <col min="27" max="27" width="11" customWidth="1"/>
    <col min="28" max="28" width="15.28515625" customWidth="1"/>
  </cols>
  <sheetData>
    <row r="1" spans="1:26" ht="26.25" customHeight="1">
      <c r="A1" s="88" t="s">
        <v>0</v>
      </c>
      <c r="B1" s="88"/>
      <c r="C1" s="88"/>
      <c r="D1" s="88"/>
      <c r="E1" s="88"/>
      <c r="F1" s="88"/>
      <c r="G1" s="88"/>
      <c r="H1" s="88"/>
      <c r="I1" s="88"/>
      <c r="K1" s="95" t="s">
        <v>283</v>
      </c>
      <c r="L1" s="96"/>
      <c r="M1" s="96"/>
      <c r="N1" s="96"/>
      <c r="O1" s="96"/>
      <c r="P1" s="97"/>
      <c r="S1" s="85" t="s">
        <v>284</v>
      </c>
      <c r="T1" s="86"/>
      <c r="U1" s="86"/>
      <c r="V1" s="86"/>
      <c r="W1" s="86"/>
      <c r="X1" s="86"/>
      <c r="Y1" s="87"/>
    </row>
    <row r="2" spans="1:26" ht="30.75" customHeight="1">
      <c r="A2" s="13" t="s">
        <v>1</v>
      </c>
      <c r="B2" s="14" t="s">
        <v>2</v>
      </c>
      <c r="C2" s="14" t="s">
        <v>3</v>
      </c>
      <c r="D2" s="14" t="s">
        <v>4</v>
      </c>
      <c r="E2" s="15" t="s">
        <v>5</v>
      </c>
      <c r="F2" s="16" t="s">
        <v>6</v>
      </c>
      <c r="G2" s="17" t="s">
        <v>7</v>
      </c>
      <c r="H2" s="14" t="s">
        <v>8</v>
      </c>
      <c r="I2" s="18" t="s">
        <v>9</v>
      </c>
      <c r="K2" s="106" t="s">
        <v>285</v>
      </c>
      <c r="L2" s="105"/>
      <c r="M2" s="105"/>
      <c r="N2" s="105"/>
      <c r="O2" s="105"/>
      <c r="P2" s="107"/>
      <c r="S2" s="109" t="s">
        <v>286</v>
      </c>
      <c r="T2" s="109"/>
      <c r="U2" s="109"/>
      <c r="V2" s="109"/>
      <c r="W2" s="109"/>
      <c r="X2" s="109"/>
      <c r="Y2" s="109"/>
    </row>
    <row r="3" spans="1:26" ht="15" customHeight="1">
      <c r="A3" s="1" t="s">
        <v>10</v>
      </c>
      <c r="B3" s="2" t="s">
        <v>11</v>
      </c>
      <c r="C3" s="2" t="s">
        <v>12</v>
      </c>
      <c r="D3" s="2" t="s">
        <v>11</v>
      </c>
      <c r="E3" s="3" t="s">
        <v>13</v>
      </c>
      <c r="F3" s="4" t="s">
        <v>11</v>
      </c>
      <c r="G3" s="5">
        <v>2</v>
      </c>
      <c r="H3" s="2" t="s">
        <v>14</v>
      </c>
      <c r="I3" s="6" t="s">
        <v>15</v>
      </c>
      <c r="K3" s="94" t="s">
        <v>287</v>
      </c>
      <c r="L3" s="101" t="s">
        <v>288</v>
      </c>
      <c r="M3" s="102"/>
      <c r="N3" s="102"/>
      <c r="O3" s="102"/>
      <c r="P3" s="103"/>
      <c r="S3" s="89" t="s">
        <v>289</v>
      </c>
      <c r="T3" s="110" t="s">
        <v>290</v>
      </c>
      <c r="U3" s="110"/>
      <c r="V3" s="110"/>
      <c r="W3" s="110"/>
      <c r="X3" s="111"/>
      <c r="Y3" s="112" t="s">
        <v>291</v>
      </c>
    </row>
    <row r="4" spans="1:26" ht="15.75" customHeight="1">
      <c r="A4" s="1" t="s">
        <v>16</v>
      </c>
      <c r="B4" s="2" t="s">
        <v>17</v>
      </c>
      <c r="C4" s="2" t="s">
        <v>18</v>
      </c>
      <c r="D4" s="2" t="s">
        <v>19</v>
      </c>
      <c r="E4" s="3">
        <v>54255</v>
      </c>
      <c r="F4" s="4">
        <v>42015</v>
      </c>
      <c r="G4" s="5">
        <v>1</v>
      </c>
      <c r="H4" s="2" t="s">
        <v>20</v>
      </c>
      <c r="I4" s="6" t="s">
        <v>21</v>
      </c>
      <c r="K4" s="90"/>
      <c r="L4" s="25" t="s">
        <v>29</v>
      </c>
      <c r="M4" s="34" t="s">
        <v>37</v>
      </c>
      <c r="N4" s="26" t="s">
        <v>20</v>
      </c>
      <c r="O4" s="62" t="s">
        <v>14</v>
      </c>
      <c r="P4" s="27" t="s">
        <v>11</v>
      </c>
      <c r="S4" s="90"/>
      <c r="T4" s="55" t="s">
        <v>29</v>
      </c>
      <c r="U4" s="52" t="s">
        <v>37</v>
      </c>
      <c r="V4" s="50" t="s">
        <v>20</v>
      </c>
      <c r="W4" s="54" t="s">
        <v>14</v>
      </c>
      <c r="X4" s="34" t="s">
        <v>11</v>
      </c>
      <c r="Y4" s="113"/>
    </row>
    <row r="5" spans="1:26" ht="16.5" customHeight="1">
      <c r="A5" s="1" t="s">
        <v>22</v>
      </c>
      <c r="B5" s="2" t="s">
        <v>23</v>
      </c>
      <c r="C5" s="2" t="s">
        <v>12</v>
      </c>
      <c r="D5" s="2" t="s">
        <v>19</v>
      </c>
      <c r="E5" s="3">
        <v>63184</v>
      </c>
      <c r="F5" s="4">
        <v>42022</v>
      </c>
      <c r="G5" s="5">
        <v>2</v>
      </c>
      <c r="H5" s="2" t="s">
        <v>11</v>
      </c>
      <c r="I5" s="6" t="s">
        <v>24</v>
      </c>
      <c r="K5" s="31">
        <v>5</v>
      </c>
      <c r="L5" s="22">
        <f>COUNTIFS($G$3:$G$152,"=5",$C$3:$C$152,"Finance",$H$3:$H$152,"Male")</f>
        <v>0</v>
      </c>
      <c r="M5" s="30">
        <f>COUNTIFS($G$3:$G$152,"=5",$C$3:$C$152,"Finance",$H$3:$H$152,"Female")</f>
        <v>0</v>
      </c>
      <c r="N5" s="22">
        <f>COUNTIFS($G$3:$G$152,"=5",$C$3:$C$152,"Finance",$H$3:$H$152,"Other")</f>
        <v>1</v>
      </c>
      <c r="O5" s="30">
        <f>COUNTIFS($G$3:$G$152,"=5",$C$3:$C$152,"Finance",$H$3:$H$152,"Unknown")</f>
        <v>0</v>
      </c>
      <c r="P5" s="23">
        <f>COUNTIFS($G$3:$G$152,"=5",$C$3:$C$152,"Finance",$H$3:$H$152,"Un-known")</f>
        <v>2</v>
      </c>
      <c r="S5" s="67" t="s">
        <v>12</v>
      </c>
      <c r="T5" s="65">
        <f>SUMIFS($E$3:$E$152,$C$3:$C$152,"Finance",$H$3:$H$152,"Male")</f>
        <v>125421</v>
      </c>
      <c r="U5" s="114">
        <f>SUMIFS($E$3:$E$152,$C$3:$C$152,"Finance",$H$3:$H$152,"Female")</f>
        <v>97599</v>
      </c>
      <c r="V5" s="115">
        <f>SUMIFS($E$3:$E$152,$C$3:$C$152,"Finance",$H$3:$H$152,"Other")</f>
        <v>468788</v>
      </c>
      <c r="W5" s="115">
        <f>SUMIFS($E$3:$E$152,$C$3:$C$152,"Finance",$H$3:$H$152,"Unknown")</f>
        <v>0</v>
      </c>
      <c r="X5" s="65">
        <f>SUMIFS($E$3:$E$152,$C$3:$C$152,"Finance",$H$3:$H$152,"Un-known")</f>
        <v>620283</v>
      </c>
      <c r="Y5" s="116">
        <f>SUMIF($C$3:$C$152,"Finance",$E$3:$E$152)</f>
        <v>1312091</v>
      </c>
    </row>
    <row r="6" spans="1:26">
      <c r="A6" s="1" t="s">
        <v>25</v>
      </c>
      <c r="B6" s="2" t="s">
        <v>26</v>
      </c>
      <c r="C6" s="2" t="s">
        <v>27</v>
      </c>
      <c r="D6" s="2" t="s">
        <v>28</v>
      </c>
      <c r="E6" s="3">
        <v>94406</v>
      </c>
      <c r="F6" s="4">
        <v>42029</v>
      </c>
      <c r="G6" s="5">
        <v>1</v>
      </c>
      <c r="H6" s="2" t="s">
        <v>29</v>
      </c>
      <c r="I6" s="6" t="s">
        <v>30</v>
      </c>
      <c r="K6" s="32">
        <v>4</v>
      </c>
      <c r="L6" s="22">
        <f>COUNTIFS($G$3:$G$152,"=4",$C$3:$C$152,"Finance",$H$3:$H$152,"Male")</f>
        <v>1</v>
      </c>
      <c r="M6" s="30">
        <f>COUNTIFS($G$3:$G$152,"=4",$C$3:$C$152,"Finance",$H$3:$H$152,"Female")</f>
        <v>1</v>
      </c>
      <c r="N6" s="22">
        <f>COUNTIFS($G$3:$G$152,"=4",$C$3:$C$152,"Finance",$H$3:$H$152,"Other")</f>
        <v>1</v>
      </c>
      <c r="O6" s="30">
        <f>COUNTIFS($G$3:$G$152,"=4",$C$3:$C$152,"Finance",$H$3:$H$152,"Unknown")</f>
        <v>0</v>
      </c>
      <c r="P6" s="23">
        <f>COUNTIFS($G$3:$G$152,"=4",$C$3:$C$152,"Finance",$H$3:$H$152,"Un-known")</f>
        <v>0</v>
      </c>
      <c r="S6" s="68" t="s">
        <v>18</v>
      </c>
      <c r="T6" s="73">
        <f>SUMIFS($E$3:$E$152,$C$3:$C$152,"HR",$H$3:$H$152,"Male")</f>
        <v>458095</v>
      </c>
      <c r="U6" s="74">
        <f>SUMIFS($E$3:$E$152,$C$3:$C$152,"HR",$H$3:$H$152,"Female")</f>
        <v>262441</v>
      </c>
      <c r="V6" s="75">
        <f>SUMIFS($E$3:$E$152,$C$3:$C$152,"HR",$H$3:$H$152,"Other")</f>
        <v>436781</v>
      </c>
      <c r="W6" s="75">
        <f>SUMIFS($E$3:$E$152,$C$3:$C$152,"HR",$H$3:$H$152,"Unknown")</f>
        <v>0</v>
      </c>
      <c r="X6" s="73">
        <f>SUMIFS($E$3:$E$152,$C$3:$C$152,"HR",$H$3:$H$152,"Un-known")</f>
        <v>402878</v>
      </c>
      <c r="Y6" s="72">
        <f>SUMIF($C$3:$C$152,"HR",$E$3:$E$152)</f>
        <v>1560195</v>
      </c>
    </row>
    <row r="7" spans="1:26">
      <c r="A7" s="1" t="s">
        <v>31</v>
      </c>
      <c r="B7" s="2" t="s">
        <v>32</v>
      </c>
      <c r="C7" s="2" t="s">
        <v>27</v>
      </c>
      <c r="D7" s="2" t="s">
        <v>19</v>
      </c>
      <c r="E7" s="3">
        <v>64120</v>
      </c>
      <c r="F7" s="4">
        <v>42036</v>
      </c>
      <c r="G7" s="5">
        <v>1</v>
      </c>
      <c r="H7" s="2" t="s">
        <v>29</v>
      </c>
      <c r="I7" s="6" t="s">
        <v>33</v>
      </c>
      <c r="K7" s="32">
        <v>3</v>
      </c>
      <c r="L7" s="22">
        <f>COUNTIFS($G$3:$G$152,"=3",$C$3:$C$152,"Finance",$H$3:$H$152,"Male")</f>
        <v>0</v>
      </c>
      <c r="M7" s="30">
        <f>COUNTIFS($G$3:$G$152,"=3",$C$3:$C$152,"Finance",$H$3:$H$152,"Female")</f>
        <v>1</v>
      </c>
      <c r="N7" s="22">
        <f>COUNTIFS($G$3:$G$152,"=3",$C$3:$C$152,"Finance",$H$3:$H$152,"Other")</f>
        <v>0</v>
      </c>
      <c r="O7" s="30">
        <f>COUNTIFS($G$3:$G$152,"=3",$C$3:$C$152,"Finance",$H$3:$H$152,"Unknown")</f>
        <v>0</v>
      </c>
      <c r="P7" s="23">
        <f>COUNTIFS($G$3:$G$152,"=3",$C$3:$C$152,"Finance",$H$3:$H$152,"Un-known")</f>
        <v>1</v>
      </c>
      <c r="S7" s="21" t="s">
        <v>35</v>
      </c>
      <c r="T7" s="73">
        <f>SUMIFS($E$3:$E$152,$C$3:$C$152,"IT",$H$3:$H$152,"Male")</f>
        <v>617240</v>
      </c>
      <c r="U7" s="74">
        <f>SUMIFS($E$3:$E$152,$C$3:$C$152,"IT",$H$3:$H$152,"Female")</f>
        <v>530948</v>
      </c>
      <c r="V7" s="75">
        <f>SUMIFS($E$3:$E$152,$C$3:$C$152,"IT",$H$3:$H$152,"Other")</f>
        <v>226592</v>
      </c>
      <c r="W7" s="75">
        <f>SUMIFS($E$3:$E$152,$C$3:$C$152,"IT",$H$3:$H$152,"Unknown")</f>
        <v>0</v>
      </c>
      <c r="X7" s="73">
        <f>SUMIFS($E$3:$E$152,$C$3:$C$152,"IT",$H$3:$H$152,"Un-known")</f>
        <v>213000</v>
      </c>
      <c r="Y7" s="72">
        <f>SUMIF($C$3:$C$152,"IT",$E$3:$E$152)</f>
        <v>1587780</v>
      </c>
      <c r="Z7" s="44"/>
    </row>
    <row r="8" spans="1:26">
      <c r="A8" s="1" t="s">
        <v>34</v>
      </c>
      <c r="B8" s="2" t="s">
        <v>23</v>
      </c>
      <c r="C8" s="2" t="s">
        <v>35</v>
      </c>
      <c r="D8" s="2" t="s">
        <v>36</v>
      </c>
      <c r="E8" s="3">
        <v>78421</v>
      </c>
      <c r="F8" s="4">
        <v>42043</v>
      </c>
      <c r="G8" s="5">
        <v>2</v>
      </c>
      <c r="H8" s="2" t="s">
        <v>37</v>
      </c>
      <c r="I8" s="6" t="s">
        <v>38</v>
      </c>
      <c r="K8" s="32">
        <v>2</v>
      </c>
      <c r="L8" s="22">
        <f>COUNTIFS($G$3:$G$152,"=2",$C$3:$C$152,"Finance",$H$3:$H$152,"Male")</f>
        <v>1</v>
      </c>
      <c r="M8" s="30">
        <f>COUNTIFS($G$3:$G$152,"=2",$C$3:$C$152,"Finance",$H$3:$H$152,"Female")</f>
        <v>0</v>
      </c>
      <c r="N8" s="22">
        <f>COUNTIFS($G$3:$G$152,"=2",$C$3:$C$152,"Finance",$H$3:$H$152,"Other")</f>
        <v>1</v>
      </c>
      <c r="O8" s="30">
        <f>COUNTIFS($G$3:$G$152,"=2",$C$3:$C$152,"Finance",$H$3:$H$152,"Unknown")</f>
        <v>1</v>
      </c>
      <c r="P8" s="23">
        <f>COUNTIFS($G$3:$G$152,"=2",$C$3:$C$152,"Finance",$H$3:$H$152,"Un-known")</f>
        <v>2</v>
      </c>
      <c r="S8" s="21" t="s">
        <v>27</v>
      </c>
      <c r="T8" s="73">
        <f>SUMIFS($E$3:$E$152,$C$3:$C$152,"Sales",$H$3:$H$152,"Male")</f>
        <v>483001</v>
      </c>
      <c r="U8" s="74">
        <f>SUMIFS($E$3:$E$152,$C$3:$C$152,"Sales",$H$3:$H$152,"Female")</f>
        <v>506412</v>
      </c>
      <c r="V8" s="75">
        <f>SUMIFS($E$3:$E$152,$C$3:$C$152,"Sales",$H$3:$H$152,"Other")</f>
        <v>261842</v>
      </c>
      <c r="W8" s="76">
        <f>SUMIFS($E$3:$E$152,$C$3:$C$152,"Sales",$H$3:$H$152,"Unknown")</f>
        <v>0</v>
      </c>
      <c r="X8" s="70">
        <f>SUMIFS($E$3:$E$152,$C$3:$C$152,"Sales",$H$3:$H$152,"Un-known")</f>
        <v>446972</v>
      </c>
      <c r="Y8" s="72">
        <f>SUMIF($C$3:$C$152,"Sales",$E$3:$E$152)</f>
        <v>1698227</v>
      </c>
      <c r="Z8" s="44"/>
    </row>
    <row r="9" spans="1:26">
      <c r="A9" s="1" t="s">
        <v>39</v>
      </c>
      <c r="B9" s="2" t="s">
        <v>40</v>
      </c>
      <c r="C9" s="2" t="s">
        <v>27</v>
      </c>
      <c r="D9" s="2" t="s">
        <v>11</v>
      </c>
      <c r="E9" s="3">
        <v>67721</v>
      </c>
      <c r="F9" s="4">
        <v>42050</v>
      </c>
      <c r="G9" s="5" t="s">
        <v>41</v>
      </c>
      <c r="H9" s="2" t="s">
        <v>29</v>
      </c>
      <c r="I9" s="6" t="s">
        <v>30</v>
      </c>
      <c r="K9" s="32">
        <v>1</v>
      </c>
      <c r="L9" s="22">
        <f>COUNTIFS($G$3:$G$152,"=1",$C$3:$C$152,"Finance",$H$3:$H$152,"Male")</f>
        <v>0</v>
      </c>
      <c r="M9" s="30">
        <f>COUNTIFS($G$3:$G$152,"=1",$C$3:$C$152,"Finance",$H$3:$H$152,"Female")</f>
        <v>1</v>
      </c>
      <c r="N9" s="22">
        <f>COUNTIFS($G$3:$G$152,"=1",$C$3:$C$152,"Finance",$H$3:$H$152,"Other")</f>
        <v>2</v>
      </c>
      <c r="O9" s="30">
        <f>COUNTIFS($G$3:$G$152,"=1",$C$3:$C$152,"Finance",$H$3:$H$152,"Unknown")</f>
        <v>0</v>
      </c>
      <c r="P9" s="23">
        <f>COUNTIFS($G$3:$G$152,"=1",$C$3:$C$152,"Finance",$H$3:$H$152,"Un-known")</f>
        <v>3</v>
      </c>
      <c r="S9" s="21" t="s">
        <v>44</v>
      </c>
      <c r="T9" s="70">
        <f>SUMIFS($E$3:$E$152,$C$3:$C$152,"Marketing",$H$3:$H$152,"Male")</f>
        <v>191535</v>
      </c>
      <c r="U9" s="71">
        <f>SUMIFS($E$3:$E$152,$C$3:$C$152,"Marketing",$H$3:$H$152,"Female")</f>
        <v>290007</v>
      </c>
      <c r="V9" s="70">
        <f>SUMIFS($E$3:$E$152,$C$3:$C$152,"Marketing",$H$3:$H$152,"Other")</f>
        <v>595664</v>
      </c>
      <c r="W9" s="77">
        <f>SUMIFS($E$3:$E$152,$C$3:$C$152,"Marketing",$H$3:$H$152,"Unknown")</f>
        <v>143000</v>
      </c>
      <c r="X9" s="66">
        <f>SUMIFS($E$3:$E$152,$C$3:$C$152,"Marketing",$H$3:$H$152,"Un-known")</f>
        <v>435648</v>
      </c>
      <c r="Y9" s="72">
        <f>SUMIF($C$3:$C$152,"Marketing",$E$3:$E$152)</f>
        <v>1655854</v>
      </c>
    </row>
    <row r="10" spans="1:26">
      <c r="A10" s="1" t="s">
        <v>42</v>
      </c>
      <c r="B10" s="2" t="s">
        <v>43</v>
      </c>
      <c r="C10" s="2" t="s">
        <v>44</v>
      </c>
      <c r="D10" s="2" t="s">
        <v>11</v>
      </c>
      <c r="E10" s="3">
        <v>35364</v>
      </c>
      <c r="F10" s="4">
        <v>42057</v>
      </c>
      <c r="G10" s="5">
        <v>2</v>
      </c>
      <c r="H10" s="2" t="s">
        <v>20</v>
      </c>
      <c r="I10" s="6" t="s">
        <v>45</v>
      </c>
      <c r="K10" s="32">
        <v>0</v>
      </c>
      <c r="L10" s="22">
        <f>COUNTIFS($G$3:$G$152,"=0",$C$3:$C$152,"Finance",$H$3:$H$152,"Male")</f>
        <v>0</v>
      </c>
      <c r="M10" s="30">
        <f>COUNTIFS($G$3:$G$152,"=0",$C$3:$C$152,"Finance",$H$3:$H$152,"Female")</f>
        <v>0</v>
      </c>
      <c r="N10" s="22">
        <f>COUNTIFS($G$3:$G$152,"=0",$C$3:$C$152,"Finance",$H$3:$H$152,"Other")</f>
        <v>0</v>
      </c>
      <c r="O10" s="30">
        <f>COUNTIFS($G$3:$G$152,"=0",$C$3:$C$152,"Finance",$H$3:$H$152,"Unknown")</f>
        <v>0</v>
      </c>
      <c r="P10" s="23">
        <f>COUNTIFS($G$3:$G$152,"=0",$C$3:$C$152,"Finance",$H$3:$H$152,"Un-known")</f>
        <v>0</v>
      </c>
      <c r="S10" s="46" t="s">
        <v>11</v>
      </c>
      <c r="T10" s="66">
        <f>SUMIFS($E$3:$E$152,$C$3:$C$152,"Un-known",$H$3:$H$152,"Male")</f>
        <v>327919</v>
      </c>
      <c r="U10" s="60">
        <f>SUMIFS($E$3:$E$152,$C$3:$C$152,"Un-known",$H$3:$H$152,"Female")</f>
        <v>395961</v>
      </c>
      <c r="V10" s="66">
        <f>SUMIFS($E$3:$E$152,$C$3:$C$152,"Un-known",$H$3:$H$152,"Other")</f>
        <v>202530</v>
      </c>
      <c r="W10" s="60">
        <f>SUMIFS($E$3:$E$152,$C$3:$C$152,"Un-known",$H$3:$H$152,"Unknown")</f>
        <v>0</v>
      </c>
      <c r="X10" s="65">
        <f>SUMIFS($E$3:$E$152,$C$3:$C$152,"Un-known",$H$3:$H$152,"Un-known")</f>
        <v>671335</v>
      </c>
      <c r="Y10" s="72">
        <f>SUMIF($C$3:$C$152,"Un-known",$E$3:$E$152)</f>
        <v>1597745</v>
      </c>
    </row>
    <row r="11" spans="1:26" ht="15" customHeight="1">
      <c r="A11" s="1" t="s">
        <v>46</v>
      </c>
      <c r="B11" s="2" t="s">
        <v>23</v>
      </c>
      <c r="C11" s="2" t="s">
        <v>35</v>
      </c>
      <c r="D11" s="2" t="s">
        <v>19</v>
      </c>
      <c r="E11" s="3">
        <v>97881</v>
      </c>
      <c r="F11" s="4">
        <v>42064</v>
      </c>
      <c r="G11" s="5" t="s">
        <v>41</v>
      </c>
      <c r="H11" s="2" t="s">
        <v>37</v>
      </c>
      <c r="I11" s="6" t="s">
        <v>47</v>
      </c>
      <c r="K11" s="33" t="s">
        <v>41</v>
      </c>
      <c r="L11" s="22">
        <f>COUNTIFS($G$3:$G$152,"N/A",$C$3:$C$152,"Finance",$H$3:$H$152,"Male")</f>
        <v>0</v>
      </c>
      <c r="M11" s="30">
        <f>COUNTIFS($G$3:$G$152,"N/A",$C$3:$C$152,"Finance",$H$3:$H$152,"Female")</f>
        <v>0</v>
      </c>
      <c r="N11" s="22">
        <f>COUNTIFS($G$3:$G$152,"N/A",$C$3:$C$152,"Finance",$H$3:$H$152,"Other")</f>
        <v>2</v>
      </c>
      <c r="O11" s="30">
        <f>COUNTIFS($G$3:$G$152,"N/A",$C$3:$C$152,"Finance",$H$3:$H$152,"Unknown")</f>
        <v>0</v>
      </c>
      <c r="P11" s="23">
        <f>COUNTIFS($G$3:$G$152,"N/A",$C$3:$C$152,"Finance",$H$3:$H$152,"Un-known")</f>
        <v>1</v>
      </c>
      <c r="S11" s="64" t="s">
        <v>292</v>
      </c>
      <c r="T11" s="69">
        <f>SUM(T5:T10)</f>
        <v>2203211</v>
      </c>
      <c r="U11" s="61">
        <f t="shared" ref="U11:X11" si="0">SUM(U5:U10)</f>
        <v>2083368</v>
      </c>
      <c r="V11" s="69">
        <f t="shared" si="0"/>
        <v>2192197</v>
      </c>
      <c r="W11" s="80">
        <f t="shared" si="0"/>
        <v>143000</v>
      </c>
      <c r="X11" s="79">
        <f t="shared" si="0"/>
        <v>2790116</v>
      </c>
      <c r="Y11" s="72">
        <f>SUM(Y5:Y10)</f>
        <v>9411892</v>
      </c>
    </row>
    <row r="12" spans="1:26">
      <c r="A12" s="1" t="s">
        <v>48</v>
      </c>
      <c r="B12" s="2" t="s">
        <v>43</v>
      </c>
      <c r="C12" s="2" t="s">
        <v>18</v>
      </c>
      <c r="D12" s="2" t="s">
        <v>49</v>
      </c>
      <c r="E12" s="3">
        <v>91846</v>
      </c>
      <c r="F12" s="4">
        <v>42071</v>
      </c>
      <c r="G12" s="5" t="s">
        <v>41</v>
      </c>
      <c r="H12" s="2" t="s">
        <v>29</v>
      </c>
      <c r="I12" s="6" t="s">
        <v>50</v>
      </c>
      <c r="K12" s="36" t="s">
        <v>293</v>
      </c>
      <c r="L12" s="38">
        <f>SUM(L5:L11)</f>
        <v>2</v>
      </c>
      <c r="M12" s="38">
        <f>SUM(M5:M11)</f>
        <v>3</v>
      </c>
      <c r="N12" s="38">
        <f>SUM(N5:N11)</f>
        <v>7</v>
      </c>
      <c r="O12" s="38">
        <f>SUM(O5:O11)</f>
        <v>1</v>
      </c>
      <c r="P12" s="38">
        <f>SUM(P5:P11)</f>
        <v>9</v>
      </c>
      <c r="Q12" s="38">
        <f>COUNTIFS(C3:C152,"Finance")</f>
        <v>22</v>
      </c>
      <c r="T12" s="19"/>
    </row>
    <row r="13" spans="1:26">
      <c r="A13" s="1" t="s">
        <v>51</v>
      </c>
      <c r="B13" s="2" t="s">
        <v>40</v>
      </c>
      <c r="C13" s="2" t="s">
        <v>12</v>
      </c>
      <c r="D13" s="2" t="s">
        <v>49</v>
      </c>
      <c r="E13" s="3">
        <v>64247</v>
      </c>
      <c r="F13" s="4">
        <v>42078</v>
      </c>
      <c r="G13" s="5">
        <v>1</v>
      </c>
      <c r="H13" s="2" t="s">
        <v>37</v>
      </c>
      <c r="I13" s="6" t="s">
        <v>52</v>
      </c>
      <c r="K13" s="37"/>
      <c r="L13" s="39"/>
      <c r="M13" s="39"/>
      <c r="N13" s="39"/>
      <c r="O13" s="39"/>
      <c r="P13" s="39"/>
      <c r="Q13" s="39"/>
    </row>
    <row r="14" spans="1:26">
      <c r="A14" s="1" t="s">
        <v>53</v>
      </c>
      <c r="B14" s="2" t="s">
        <v>40</v>
      </c>
      <c r="C14" s="2" t="s">
        <v>35</v>
      </c>
      <c r="D14" s="2" t="s">
        <v>28</v>
      </c>
      <c r="E14" s="3">
        <v>91180</v>
      </c>
      <c r="F14" s="4">
        <v>42085</v>
      </c>
      <c r="G14" s="5">
        <v>5</v>
      </c>
      <c r="H14" s="2" t="s">
        <v>29</v>
      </c>
      <c r="I14" s="6" t="s">
        <v>54</v>
      </c>
    </row>
    <row r="15" spans="1:26" ht="15.75" customHeight="1">
      <c r="A15" s="1" t="s">
        <v>55</v>
      </c>
      <c r="B15" s="2" t="s">
        <v>56</v>
      </c>
      <c r="C15" s="2" t="s">
        <v>27</v>
      </c>
      <c r="D15" s="2" t="s">
        <v>11</v>
      </c>
      <c r="E15" s="3">
        <v>96418</v>
      </c>
      <c r="F15" s="4">
        <v>42092</v>
      </c>
      <c r="G15" s="5">
        <v>5</v>
      </c>
      <c r="H15" s="2" t="s">
        <v>29</v>
      </c>
      <c r="I15" s="6" t="s">
        <v>21</v>
      </c>
      <c r="K15" s="89" t="s">
        <v>287</v>
      </c>
      <c r="L15" s="91" t="s">
        <v>18</v>
      </c>
      <c r="M15" s="92"/>
      <c r="N15" s="92"/>
      <c r="O15" s="92"/>
      <c r="P15" s="93"/>
      <c r="S15" s="95" t="s">
        <v>284</v>
      </c>
      <c r="T15" s="96"/>
      <c r="U15" s="96"/>
      <c r="V15" s="96"/>
      <c r="W15" s="96"/>
      <c r="X15" s="96"/>
      <c r="Y15" s="97"/>
    </row>
    <row r="16" spans="1:26" ht="15" customHeight="1">
      <c r="A16" s="1" t="s">
        <v>57</v>
      </c>
      <c r="B16" s="2" t="s">
        <v>40</v>
      </c>
      <c r="C16" s="2" t="s">
        <v>11</v>
      </c>
      <c r="D16" s="2" t="s">
        <v>36</v>
      </c>
      <c r="E16" s="3">
        <v>62158</v>
      </c>
      <c r="F16" s="4">
        <v>42099</v>
      </c>
      <c r="G16" s="5">
        <v>4</v>
      </c>
      <c r="H16" s="2" t="s">
        <v>11</v>
      </c>
      <c r="I16" s="6" t="s">
        <v>58</v>
      </c>
      <c r="K16" s="90"/>
      <c r="L16" s="25" t="s">
        <v>29</v>
      </c>
      <c r="M16" s="34" t="s">
        <v>37</v>
      </c>
      <c r="N16" s="26" t="s">
        <v>20</v>
      </c>
      <c r="O16" s="29" t="s">
        <v>14</v>
      </c>
      <c r="P16" s="27" t="s">
        <v>11</v>
      </c>
      <c r="S16" s="98"/>
      <c r="T16" s="99"/>
      <c r="U16" s="99"/>
      <c r="V16" s="99"/>
      <c r="W16" s="99"/>
      <c r="X16" s="99"/>
      <c r="Y16" s="100"/>
    </row>
    <row r="17" spans="1:26">
      <c r="A17" s="1" t="s">
        <v>59</v>
      </c>
      <c r="B17" s="2" t="s">
        <v>32</v>
      </c>
      <c r="C17" s="2" t="s">
        <v>18</v>
      </c>
      <c r="D17" s="2" t="s">
        <v>11</v>
      </c>
      <c r="E17" s="3">
        <v>59894</v>
      </c>
      <c r="F17" s="4">
        <v>42106</v>
      </c>
      <c r="G17" s="5">
        <v>2</v>
      </c>
      <c r="H17" s="2" t="s">
        <v>29</v>
      </c>
      <c r="I17" s="6" t="s">
        <v>60</v>
      </c>
      <c r="K17" s="31">
        <v>5</v>
      </c>
      <c r="L17" s="22">
        <f>COUNTIFS($G$3:$G$152,"=5",$C$3:$C$152,"HR",$H$3:$H$152,"Male")</f>
        <v>0</v>
      </c>
      <c r="M17" s="30">
        <f>COUNTIFS($G$3:$G$152,"=5",$C$3:$C$152,"HR",$H$3:$H$152,"Female")</f>
        <v>1</v>
      </c>
      <c r="N17" s="22">
        <f>COUNTIFS($G$3:$G$152,"=5",$C$3:$C$152,"HR",$H$3:$H$152,"Other")</f>
        <v>0</v>
      </c>
      <c r="O17" s="30">
        <f>COUNTIFS($G$3:$G$152,"=5",$C$3:$C$152,"HR",$H$3:$H$152,"Unknown")</f>
        <v>0</v>
      </c>
      <c r="P17" s="23">
        <f>COUNTIFS($G$3:$G$152,"=5",$C$3:$C$152,"HR",$H$3:$H$152,"Un-known")</f>
        <v>0</v>
      </c>
      <c r="S17" s="40" t="s">
        <v>294</v>
      </c>
      <c r="T17" s="40"/>
      <c r="U17" s="40"/>
      <c r="V17" s="40"/>
      <c r="W17" s="40"/>
      <c r="X17" s="40"/>
      <c r="Y17" s="40"/>
    </row>
    <row r="18" spans="1:26" ht="15.75" customHeight="1">
      <c r="A18" s="1" t="s">
        <v>61</v>
      </c>
      <c r="B18" s="2" t="s">
        <v>11</v>
      </c>
      <c r="C18" s="2" t="s">
        <v>35</v>
      </c>
      <c r="D18" s="2" t="s">
        <v>36</v>
      </c>
      <c r="E18" s="3">
        <v>92443</v>
      </c>
      <c r="F18" s="4">
        <v>42113</v>
      </c>
      <c r="G18" s="5">
        <v>3</v>
      </c>
      <c r="H18" s="2" t="s">
        <v>20</v>
      </c>
      <c r="I18" s="6" t="s">
        <v>62</v>
      </c>
      <c r="K18" s="32">
        <v>4</v>
      </c>
      <c r="L18" s="22">
        <f>COUNTIFS($G$3:$G$152,"=4",$C$3:$C$152,"HR",$H$3:$H$152,"Male")</f>
        <v>1</v>
      </c>
      <c r="M18" s="30">
        <f>COUNTIFS($G$3:$G$152,"=4",$C$3:$C$152,"HR",$H$3:$H$152,"Female")</f>
        <v>1</v>
      </c>
      <c r="N18" s="22">
        <f>COUNTIFS($G$3:$G$152,"=4",$C$3:$C$152,"HR",$H$3:$H$152,"Other")</f>
        <v>0</v>
      </c>
      <c r="O18" s="30">
        <f>COUNTIFS($G$3:$G$152,"=4",$C$3:$C$152,"HR",$H$3:$H$152,"Unknown")</f>
        <v>0</v>
      </c>
      <c r="P18" s="23">
        <f>COUNTIFS($G$3:$G$152,"=4",$C$3:$C$152,"HR",$H$3:$H$152,"Un-known")</f>
        <v>2</v>
      </c>
      <c r="S18" s="108"/>
      <c r="T18" s="108"/>
      <c r="U18" s="108"/>
      <c r="V18" s="108"/>
      <c r="W18" s="108"/>
      <c r="X18" s="108"/>
      <c r="Y18" s="108"/>
    </row>
    <row r="19" spans="1:26">
      <c r="A19" s="1" t="s">
        <v>63</v>
      </c>
      <c r="B19" s="2" t="s">
        <v>56</v>
      </c>
      <c r="C19" s="2" t="s">
        <v>11</v>
      </c>
      <c r="D19" s="2" t="s">
        <v>19</v>
      </c>
      <c r="E19" s="3">
        <v>90271</v>
      </c>
      <c r="F19" s="4">
        <v>42120</v>
      </c>
      <c r="G19" s="5" t="s">
        <v>41</v>
      </c>
      <c r="H19" s="2" t="s">
        <v>11</v>
      </c>
      <c r="I19" s="6" t="s">
        <v>64</v>
      </c>
      <c r="K19" s="32">
        <v>3</v>
      </c>
      <c r="L19" s="22">
        <f>COUNTIFS($G$3:$G$152,"=3",$C$3:$C$152,"HR",$H$3:$H$152,"Male")</f>
        <v>1</v>
      </c>
      <c r="M19" s="30">
        <f>COUNTIFS($G$3:$G$152,"=3",$C$3:$C$152,"HR",$H$3:$H$152,"Female")</f>
        <v>0</v>
      </c>
      <c r="N19" s="22">
        <f>COUNTIFS($G$3:$G$152,"=3",$C$3:$C$152,"HR",$H$3:$H$152,"Other")</f>
        <v>4</v>
      </c>
      <c r="O19" s="30">
        <f>COUNTIFS($G$3:$G$152,"=3",$C$3:$C$152,"HR",$H$3:$H$152,"Unknown")</f>
        <v>0</v>
      </c>
      <c r="P19" s="23">
        <f>COUNTIFS($G$3:$G$152,"=3",$C$3:$C$152,"HR",$H$3:$H$152,"Un-known")</f>
        <v>2</v>
      </c>
      <c r="S19" s="94" t="s">
        <v>289</v>
      </c>
      <c r="T19" s="101" t="s">
        <v>290</v>
      </c>
      <c r="U19" s="102"/>
      <c r="V19" s="102"/>
      <c r="W19" s="102"/>
      <c r="X19" s="103"/>
      <c r="Y19" s="104" t="s">
        <v>295</v>
      </c>
    </row>
    <row r="20" spans="1:26">
      <c r="A20" s="1" t="s">
        <v>65</v>
      </c>
      <c r="B20" s="2" t="s">
        <v>32</v>
      </c>
      <c r="C20" s="2" t="s">
        <v>12</v>
      </c>
      <c r="D20" s="2" t="s">
        <v>66</v>
      </c>
      <c r="E20" s="3">
        <v>41341</v>
      </c>
      <c r="F20" s="4">
        <v>42127</v>
      </c>
      <c r="G20" s="5">
        <v>1</v>
      </c>
      <c r="H20" s="2" t="s">
        <v>20</v>
      </c>
      <c r="I20" s="6" t="s">
        <v>67</v>
      </c>
      <c r="K20" s="32">
        <v>2</v>
      </c>
      <c r="L20" s="22">
        <f>COUNTIFS($G$3:$G$152,"=2",$C$3:$C$152,"HR",$H$3:$H$152,"Male")</f>
        <v>1</v>
      </c>
      <c r="M20" s="30">
        <f>COUNTIFS($G$3:$G$152,"=2",$C$3:$C$152,"HR",$H$3:$H$152,"Female")</f>
        <v>1</v>
      </c>
      <c r="N20" s="22">
        <f>COUNTIFS($G$3:$G$152,"=2",$C$3:$C$152,"HR",$H$3:$H$152,"Other")</f>
        <v>2</v>
      </c>
      <c r="O20" s="30">
        <f>COUNTIFS($G$3:$G$152,"=2",$C$3:$C$152,"HR",$H$3:$H$152,"Unknown")</f>
        <v>0</v>
      </c>
      <c r="P20" s="23">
        <f>COUNTIFS($G$3:$G$152,"=2",$C$3:$C$152,"HR",$H$3:$H$152,"Un-known")</f>
        <v>0</v>
      </c>
      <c r="S20" s="90"/>
      <c r="T20" s="43" t="s">
        <v>29</v>
      </c>
      <c r="U20" s="42" t="s">
        <v>37</v>
      </c>
      <c r="V20" s="41" t="s">
        <v>20</v>
      </c>
      <c r="W20" s="49" t="s">
        <v>14</v>
      </c>
      <c r="X20" s="78" t="s">
        <v>11</v>
      </c>
      <c r="Y20" s="84"/>
    </row>
    <row r="21" spans="1:26">
      <c r="A21" s="1" t="s">
        <v>68</v>
      </c>
      <c r="B21" s="2" t="s">
        <v>23</v>
      </c>
      <c r="C21" s="2" t="s">
        <v>12</v>
      </c>
      <c r="D21" s="2" t="s">
        <v>49</v>
      </c>
      <c r="E21" s="3">
        <v>73602</v>
      </c>
      <c r="F21" s="4">
        <v>42134</v>
      </c>
      <c r="G21" s="5" t="s">
        <v>41</v>
      </c>
      <c r="H21" s="2" t="s">
        <v>11</v>
      </c>
      <c r="I21" s="6" t="s">
        <v>69</v>
      </c>
      <c r="K21" s="32">
        <v>1</v>
      </c>
      <c r="L21" s="22">
        <f>COUNTIFS($G$3:$G$152,"=1",$C$3:$C$152,"HR",$H$3:$H$152,"Male")</f>
        <v>2</v>
      </c>
      <c r="M21" s="30">
        <f>COUNTIFS($G$3:$G$152,"=1",$C$3:$C$152,"HR",$H$3:$H$152,"Female")</f>
        <v>0</v>
      </c>
      <c r="N21" s="22">
        <f>COUNTIFS($G$3:$G$152,"=1",$C$3:$C$152,"HR",$H$3:$H$152,"Other")</f>
        <v>1</v>
      </c>
      <c r="O21" s="30">
        <f>COUNTIFS($G$3:$G$152,"=1",$C$3:$C$152,"HR",$H$3:$H$152,"Unknown")</f>
        <v>0</v>
      </c>
      <c r="P21" s="23">
        <f>COUNTIFS($G$3:$G$152,"=1",$C$3:$C$152,"HR",$H$3:$H$152,"Un-known")</f>
        <v>1</v>
      </c>
      <c r="S21" s="67" t="s">
        <v>12</v>
      </c>
      <c r="T21" s="73">
        <f>AVERAGEIFS($E$3:$E$152,$C$3:$C$152,"Finance",$H$3:$H$152,"Male")</f>
        <v>62710.5</v>
      </c>
      <c r="U21" s="74">
        <f>AVERAGEIFS($E$3:$E$152,$C$3:$C$152,"Finance",$H$3:$H$152,"Female")</f>
        <v>48799.5</v>
      </c>
      <c r="V21" s="75">
        <f>AVERAGEIFS($E$3:$E$152,$C$3:$C$152,"Finance",$H$3:$H$152,"Other")</f>
        <v>66969.71428571429</v>
      </c>
      <c r="W21" s="81" t="str">
        <f>IFERROR(AVERAGEIFS($E$3:$E$152,$C$3:$C$152,"Finance",$H$3:$H$152,"Unknown"),"Null")</f>
        <v>Null</v>
      </c>
      <c r="X21" s="73">
        <f>AVERAGEIFS($E$3:$E$152,$C$3:$C$152,"Finance",$H$3:$H$152,"Un-known")</f>
        <v>68920.333333333328</v>
      </c>
      <c r="Y21" s="72">
        <f>AVERAGEIF($C$3:$C$152,"Finance",$E$3:$E$152)</f>
        <v>65604.55</v>
      </c>
    </row>
    <row r="22" spans="1:26">
      <c r="A22" s="1" t="s">
        <v>70</v>
      </c>
      <c r="B22" s="2" t="s">
        <v>17</v>
      </c>
      <c r="C22" s="2" t="s">
        <v>11</v>
      </c>
      <c r="D22" s="2" t="s">
        <v>36</v>
      </c>
      <c r="E22" s="3">
        <v>67531</v>
      </c>
      <c r="F22" s="4">
        <v>42141</v>
      </c>
      <c r="G22" s="5">
        <v>5</v>
      </c>
      <c r="H22" s="2" t="s">
        <v>37</v>
      </c>
      <c r="I22" s="6" t="s">
        <v>71</v>
      </c>
      <c r="K22" s="32">
        <v>0</v>
      </c>
      <c r="L22" s="22">
        <f>COUNTIFS($G$3:$G$152,"=0",$C$3:$C$152,"HR",$H$3:$H$152,"Male")</f>
        <v>0</v>
      </c>
      <c r="M22" s="30">
        <f>COUNTIFS($G$3:$G$152,"=0",$C$3:$C$152,"HR",$H$3:$H$152,"Female")</f>
        <v>0</v>
      </c>
      <c r="N22" s="22">
        <f>COUNTIFS($G$3:$G$152,"=0",$C$3:$C$152,"HR",$H$3:$H$152,"Other")</f>
        <v>0</v>
      </c>
      <c r="O22" s="30">
        <f>COUNTIFS($G$3:$G$152,"=0",$C$3:$C$152,"HR",$H$3:$H$152,"Unknown")</f>
        <v>0</v>
      </c>
      <c r="P22" s="23">
        <f>COUNTIFS($G$3:$G$152,"=0",$C$3:$C$152,"HR",$H$3:$H$152,"Un-known")</f>
        <v>0</v>
      </c>
      <c r="S22" s="68" t="s">
        <v>18</v>
      </c>
      <c r="T22" s="73">
        <f>AVERAGEIFS($E$3:$E$152,$C$3:$C$152,"HR",$H$3:$H$152,"Male")</f>
        <v>76349.166666666672</v>
      </c>
      <c r="U22" s="74">
        <f>AVERAGEIFS($E$3:$E$152,$C$3:$C$152,"HR",$H$3:$H$152,"Female")</f>
        <v>65610.25</v>
      </c>
      <c r="V22" s="75">
        <f>AVERAGEIFS($E$3:$E$152,$C$3:$C$152,"HR",$H$3:$H$152,"Other")</f>
        <v>62397.285714285717</v>
      </c>
      <c r="W22" s="81" t="str" cm="1">
        <f t="array" aca="1" ref="W22" ca="1">IFERROR(aveargeifs($E$3:$E$152,$C$3:$C$152,"HR",$H$3:$H$152,"Unknown"),"Null")</f>
        <v>Null</v>
      </c>
      <c r="X22" s="73">
        <f>AVERAGEIFS($E$3:$E$152,$C$3:$C$152,"HR",$H$3:$H$152,"Un-known")</f>
        <v>67146.333333333328</v>
      </c>
      <c r="Y22" s="72">
        <f>AVERAGEIF($C$3:$C$152,"HR",$E$3:$E$152)</f>
        <v>67834.565217391311</v>
      </c>
    </row>
    <row r="23" spans="1:26">
      <c r="A23" s="1" t="s">
        <v>72</v>
      </c>
      <c r="B23" s="2" t="s">
        <v>32</v>
      </c>
      <c r="C23" s="2" t="s">
        <v>18</v>
      </c>
      <c r="D23" s="2" t="s">
        <v>28</v>
      </c>
      <c r="E23" s="3" t="s">
        <v>13</v>
      </c>
      <c r="F23" s="4">
        <v>42148</v>
      </c>
      <c r="G23" s="5">
        <v>2</v>
      </c>
      <c r="H23" s="2" t="s">
        <v>20</v>
      </c>
      <c r="I23" s="6" t="s">
        <v>73</v>
      </c>
      <c r="K23" s="33" t="s">
        <v>41</v>
      </c>
      <c r="L23" s="22">
        <f>COUNTIFS($G$3:$G$152,"N/A",$C$3:$C$152,"HR",$H$3:$H$152,"Male")</f>
        <v>1</v>
      </c>
      <c r="M23" s="30">
        <f>COUNTIFS($G$3:$G$152,"N/A",$C$3:$C$152,"HR",$H$3:$H$152,"Female")</f>
        <v>1</v>
      </c>
      <c r="N23" s="22">
        <f>COUNTIFS($G$3:$G$152,"N/A",$C$3:$C$152,"HR",$H$3:$H$152,"Other")</f>
        <v>1</v>
      </c>
      <c r="O23" s="30">
        <f>COUNTIFS($G$3:$G$152,"N/A",$C$3:$C$152,"HR",$H$3:$H$152,"Unknown")</f>
        <v>0</v>
      </c>
      <c r="P23" s="23">
        <f>COUNTIFS($G$3:$G$152,"N/A",$C$3:$C$152,"HR",$H$3:$H$152,"Un-known")</f>
        <v>1</v>
      </c>
      <c r="S23" s="21" t="s">
        <v>35</v>
      </c>
      <c r="T23" s="73">
        <f>AVERAGEIFS($E$3:$E$152,$C$3:$C$152,"IT",$H$3:$H$152,"Male")</f>
        <v>68582.222222222219</v>
      </c>
      <c r="U23" s="74">
        <f>AVERAGEIFS($E$3:$E$152,$C$3:$C$152,"IT",$H$3:$H$152,"Female")</f>
        <v>66368.5</v>
      </c>
      <c r="V23" s="75">
        <f>AVERAGEIFS($E$3:$E$152,$C$3:$C$152,"IT",$H$3:$H$152,"Other")</f>
        <v>75530.666666666672</v>
      </c>
      <c r="W23" s="81" t="str">
        <f>IFERROR(AVERAGEIFS($E$3:$E$152,$C$3:$C$152,"IT",$H$3:$H$152,"Unknown"),"Null")</f>
        <v>Null</v>
      </c>
      <c r="X23" s="73">
        <f>AVERAGEIFS($E$3:$E$152,$C$3:$C$152,"IT",$H$3:$H$152,"Un-known")</f>
        <v>53250</v>
      </c>
      <c r="Y23" s="72">
        <f>AVERAGEIF($C$3:$C$152,"IT",$E$3:$E$152)</f>
        <v>66157.5</v>
      </c>
    </row>
    <row r="24" spans="1:26">
      <c r="A24" s="1" t="s">
        <v>74</v>
      </c>
      <c r="B24" s="2" t="s">
        <v>32</v>
      </c>
      <c r="C24" s="2" t="s">
        <v>18</v>
      </c>
      <c r="D24" s="2" t="s">
        <v>11</v>
      </c>
      <c r="E24" s="3">
        <v>98922</v>
      </c>
      <c r="F24" s="4">
        <v>42155</v>
      </c>
      <c r="G24" s="5">
        <v>4</v>
      </c>
      <c r="H24" s="2" t="s">
        <v>11</v>
      </c>
      <c r="I24" s="6" t="s">
        <v>75</v>
      </c>
      <c r="K24" s="36" t="s">
        <v>296</v>
      </c>
      <c r="L24" s="38">
        <f>SUM(L17:L23)</f>
        <v>6</v>
      </c>
      <c r="M24" s="38">
        <f>SUM(M17:M23)</f>
        <v>4</v>
      </c>
      <c r="N24" s="38">
        <f>SUM(N17:N23)</f>
        <v>8</v>
      </c>
      <c r="O24" s="38">
        <f>SUM(O17:O23)</f>
        <v>0</v>
      </c>
      <c r="P24" s="38">
        <f>SUM(P17:P23)</f>
        <v>6</v>
      </c>
      <c r="Q24" s="38">
        <f>COUNTIFS($C$3:$C$152,"HR")</f>
        <v>24</v>
      </c>
      <c r="S24" s="21" t="s">
        <v>27</v>
      </c>
      <c r="T24" s="73">
        <f>AVERAGEIFS($E$3:$E$152,$C$3:$C$152,"Sales",$H$3:$H$152,"Male")</f>
        <v>69000.142857142855</v>
      </c>
      <c r="U24" s="74">
        <f>SUMIFS($E$3:$E$152,$C$3:$C$152,"Sales",$H$3:$H$152,"Female")</f>
        <v>506412</v>
      </c>
      <c r="V24" s="75">
        <f>AVERAGEIFS($E$3:$E$152,$C$3:$C$152,"Sales",$H$3:$H$152,"Other")</f>
        <v>87280.666666666672</v>
      </c>
      <c r="W24" s="82" t="str">
        <f>IFERROR(AVERAGEIFS($E$3:$E$152,$C$3:$C$152,"Sales",$H$3:$H$152,"Unknown"),"Null")</f>
        <v>Null</v>
      </c>
      <c r="X24" s="70">
        <f>AVERAGEIFS($E$3:$E$152,$C$3:$C$152,"Sales",$H$3:$H$152,"Un-known")</f>
        <v>63853.142857142855</v>
      </c>
      <c r="Y24" s="72">
        <f>AVERAGEIF($C$3:$C$152,"Sales",$E$3:$E$152)</f>
        <v>67929.08</v>
      </c>
    </row>
    <row r="25" spans="1:26">
      <c r="A25" s="1" t="s">
        <v>76</v>
      </c>
      <c r="B25" s="2" t="s">
        <v>17</v>
      </c>
      <c r="C25" s="2" t="s">
        <v>12</v>
      </c>
      <c r="D25" s="2" t="s">
        <v>36</v>
      </c>
      <c r="E25" s="3">
        <v>38333</v>
      </c>
      <c r="F25" s="4">
        <v>42162</v>
      </c>
      <c r="G25" s="5">
        <v>5</v>
      </c>
      <c r="H25" s="2" t="s">
        <v>11</v>
      </c>
      <c r="I25" s="6" t="s">
        <v>77</v>
      </c>
      <c r="K25" s="37"/>
      <c r="L25" s="39"/>
      <c r="M25" s="39"/>
      <c r="N25" s="39"/>
      <c r="O25" s="39"/>
      <c r="P25" s="39"/>
      <c r="Q25" s="39"/>
      <c r="S25" s="21" t="s">
        <v>44</v>
      </c>
      <c r="T25" s="70">
        <f>AVERAGEIFS($E$3:$E$152,$C$3:$C$152,"Marketing",$H$3:$H$152,"Male")</f>
        <v>63845</v>
      </c>
      <c r="U25" s="71">
        <f>AVERAGEIFS($E$3:$E$152,$C$3:$C$152,"Marketing",$H$3:$H$152,"Female")</f>
        <v>58001.4</v>
      </c>
      <c r="V25" s="70">
        <f>AVERAGEIFS($E$3:$E$152,$C$3:$C$152,"Marketing",$H$3:$H$152,"Other")</f>
        <v>66184.888888888891</v>
      </c>
      <c r="W25" s="83">
        <f>IFERROR(AVERAGEIFS($E$3:$E$152,$C$3:$C$152,"Marketing",$H$3:$H$152,"Unknown"),"Null")</f>
        <v>71500</v>
      </c>
      <c r="X25" s="66">
        <f>AVERAGEIFS($E$3:$E$152,$C$3:$C$152,"Marketing",$H$3:$H$152,"Un-known")</f>
        <v>62235.428571428572</v>
      </c>
      <c r="Y25" s="72">
        <f>AVERAGEIF($C$3:$C$152,"Marketing",$E$3:$E$152)</f>
        <v>63686.692307692305</v>
      </c>
    </row>
    <row r="26" spans="1:26">
      <c r="A26" s="1" t="s">
        <v>78</v>
      </c>
      <c r="B26" s="2" t="s">
        <v>23</v>
      </c>
      <c r="C26" s="2" t="s">
        <v>44</v>
      </c>
      <c r="D26" s="2" t="s">
        <v>49</v>
      </c>
      <c r="E26" s="3">
        <v>36515</v>
      </c>
      <c r="F26" s="4">
        <v>42169</v>
      </c>
      <c r="G26" s="5">
        <v>3</v>
      </c>
      <c r="H26" s="2" t="s">
        <v>29</v>
      </c>
      <c r="I26" s="6" t="s">
        <v>79</v>
      </c>
      <c r="S26" s="46" t="s">
        <v>11</v>
      </c>
      <c r="T26" s="66">
        <f>AVERAGEIFS($E$3:$E$152,$C$3:$C$152,"Un-known",$H$3:$H$152,"Male")</f>
        <v>65583.8</v>
      </c>
      <c r="U26" s="60">
        <f>AVERAGEIFS($E$3:$E$152,$C$3:$C$152,"Un-known",$H$3:$H$152,"Female")</f>
        <v>65993.5</v>
      </c>
      <c r="V26" s="66">
        <f>AVERAGEIFS($E$3:$E$152,$C$3:$C$152,"Un-known",$H$3:$H$152,"Other")</f>
        <v>67510</v>
      </c>
      <c r="W26" s="63" t="str">
        <f>IFERROR(AVERAGEIFS($E$3:$E$152,$C$3:$C$152,"Un-known",$H$3:$H$152,"Unknown"),"Null")</f>
        <v>Null</v>
      </c>
      <c r="X26" s="65">
        <f>AVERAGEIFS($E$3:$E$152,$C$3:$C$152,"Un-known",$H$3:$H$152,"Un-known")</f>
        <v>67133.5</v>
      </c>
      <c r="Y26" s="72">
        <f>AVERAGEIF($C$3:$C$152,"Un-known",$E$3:$E$152)</f>
        <v>66572.708333333328</v>
      </c>
    </row>
    <row r="27" spans="1:26">
      <c r="A27" s="1" t="s">
        <v>80</v>
      </c>
      <c r="B27" s="2" t="s">
        <v>40</v>
      </c>
      <c r="C27" s="2" t="s">
        <v>12</v>
      </c>
      <c r="D27" s="2" t="s">
        <v>11</v>
      </c>
      <c r="E27" s="3">
        <v>91005</v>
      </c>
      <c r="F27" s="4">
        <v>42176</v>
      </c>
      <c r="G27" s="5">
        <v>1</v>
      </c>
      <c r="H27" s="2" t="s">
        <v>20</v>
      </c>
      <c r="I27" s="6" t="s">
        <v>81</v>
      </c>
      <c r="K27" s="89" t="s">
        <v>287</v>
      </c>
      <c r="L27" s="91" t="s">
        <v>35</v>
      </c>
      <c r="M27" s="92"/>
      <c r="N27" s="92"/>
      <c r="O27" s="92"/>
      <c r="P27" s="93"/>
      <c r="S27" s="64" t="s">
        <v>292</v>
      </c>
      <c r="T27" s="69">
        <f>SUM(T21:T26)</f>
        <v>406070.83174603176</v>
      </c>
      <c r="U27" s="61">
        <f t="shared" ref="U27" si="1">SUM(U21:U26)</f>
        <v>811185.15</v>
      </c>
      <c r="V27" s="69">
        <f t="shared" ref="V27" si="2">SUM(V21:V26)</f>
        <v>425873.22222222225</v>
      </c>
      <c r="W27" s="80">
        <f t="shared" ref="W27" ca="1" si="3">SUM(W21:W26)</f>
        <v>71500</v>
      </c>
      <c r="X27" s="79">
        <f t="shared" ref="X27" si="4">SUM(X21:X26)</f>
        <v>382538.73809523811</v>
      </c>
      <c r="Y27" s="72">
        <f>SUM(Y21:Y26)</f>
        <v>397785.09585841693</v>
      </c>
    </row>
    <row r="28" spans="1:26">
      <c r="A28" s="1" t="s">
        <v>82</v>
      </c>
      <c r="B28" s="2" t="s">
        <v>43</v>
      </c>
      <c r="C28" s="2" t="s">
        <v>11</v>
      </c>
      <c r="D28" s="2" t="s">
        <v>11</v>
      </c>
      <c r="E28" s="3">
        <v>52272</v>
      </c>
      <c r="F28" s="4">
        <v>42183</v>
      </c>
      <c r="G28" s="5">
        <v>3</v>
      </c>
      <c r="H28" s="2" t="s">
        <v>11</v>
      </c>
      <c r="I28" s="6" t="s">
        <v>83</v>
      </c>
      <c r="K28" s="90"/>
      <c r="L28" s="25" t="s">
        <v>29</v>
      </c>
      <c r="M28" s="34" t="s">
        <v>37</v>
      </c>
      <c r="N28" s="26" t="s">
        <v>20</v>
      </c>
      <c r="O28" s="29" t="s">
        <v>14</v>
      </c>
      <c r="P28" s="27" t="s">
        <v>11</v>
      </c>
    </row>
    <row r="29" spans="1:26">
      <c r="A29" s="1" t="s">
        <v>84</v>
      </c>
      <c r="B29" s="2" t="s">
        <v>17</v>
      </c>
      <c r="C29" s="2" t="s">
        <v>27</v>
      </c>
      <c r="D29" s="2" t="s">
        <v>19</v>
      </c>
      <c r="E29" s="3">
        <v>76518</v>
      </c>
      <c r="F29" s="4">
        <v>42190</v>
      </c>
      <c r="G29" s="5">
        <v>2</v>
      </c>
      <c r="H29" s="2" t="s">
        <v>37</v>
      </c>
      <c r="I29" s="6" t="s">
        <v>85</v>
      </c>
      <c r="K29" s="31">
        <v>5</v>
      </c>
      <c r="L29" s="22">
        <f>COUNTIFS($G$3:$G$152,"=5",$C$3:$C$152,"IT",$H$3:$H$152,"Male")</f>
        <v>2</v>
      </c>
      <c r="M29" s="30">
        <f>COUNTIFS($G$3:$G$152,"=5",$C$3:$C$152,"IT",$H$3:$H$152,"Female")</f>
        <v>2</v>
      </c>
      <c r="N29" s="22">
        <f>COUNTIFS($G$3:$G$152,"=5",$C$3:$C$152,"IT",$H$3:$H$152,"Other")</f>
        <v>0</v>
      </c>
      <c r="O29" s="30">
        <f>COUNTIFS($G$3:$G$152,"=5",$C$3:$C$152,"IT",$H$3:$H$152,"Unknown")</f>
        <v>1</v>
      </c>
      <c r="P29" s="23">
        <f>COUNTIFS($G$3:$G$152,"=5",$C$3:$C$152,"IT",$H$3:$H$152,"Un-known")</f>
        <v>0</v>
      </c>
      <c r="S29" s="95" t="s">
        <v>283</v>
      </c>
      <c r="T29" s="96"/>
      <c r="U29" s="96"/>
      <c r="V29" s="96"/>
      <c r="W29" s="96"/>
      <c r="X29" s="96"/>
      <c r="Y29" s="96"/>
      <c r="Z29" s="97"/>
    </row>
    <row r="30" spans="1:26">
      <c r="A30" s="1" t="s">
        <v>86</v>
      </c>
      <c r="B30" s="2" t="s">
        <v>23</v>
      </c>
      <c r="C30" s="2" t="s">
        <v>35</v>
      </c>
      <c r="D30" s="2" t="s">
        <v>49</v>
      </c>
      <c r="E30" s="3">
        <v>41448</v>
      </c>
      <c r="F30" s="4">
        <v>42197</v>
      </c>
      <c r="G30" s="5">
        <v>3</v>
      </c>
      <c r="H30" s="2" t="s">
        <v>20</v>
      </c>
      <c r="I30" s="6" t="s">
        <v>87</v>
      </c>
      <c r="K30" s="32">
        <v>4</v>
      </c>
      <c r="L30" s="22">
        <f>COUNTIFS($G$3:$G$152,"=4",$C$3:$C$152,"IT",$H$3:$H$152,"Male")</f>
        <v>1</v>
      </c>
      <c r="M30" s="30">
        <f>COUNTIFS($G$3:$G$152,"=4",$C$3:$C$152,"IT",$H$3:$H$152,"Female")</f>
        <v>0</v>
      </c>
      <c r="N30" s="22">
        <f>COUNTIFS($G$3:$G$152,"=4",$C$3:$C$152,"IT",$H$3:$H$152,"Other")</f>
        <v>0</v>
      </c>
      <c r="O30" s="30">
        <f>COUNTIFS($G$3:$G$152,"=4",$C$3:$C$152,"IT",$H$3:$H$152,"Unknown")</f>
        <v>0</v>
      </c>
      <c r="P30" s="23">
        <f>COUNTIFS($G$3:$G$152,"=4",$C$3:$C$152,"IT",$H$3:$H$152,"Un-known")</f>
        <v>0</v>
      </c>
      <c r="S30" s="98"/>
      <c r="T30" s="99"/>
      <c r="U30" s="99"/>
      <c r="V30" s="99"/>
      <c r="W30" s="99"/>
      <c r="X30" s="99"/>
      <c r="Y30" s="99"/>
      <c r="Z30" s="100"/>
    </row>
    <row r="31" spans="1:26">
      <c r="A31" s="1" t="s">
        <v>88</v>
      </c>
      <c r="B31" s="2" t="s">
        <v>26</v>
      </c>
      <c r="C31" s="2" t="s">
        <v>18</v>
      </c>
      <c r="D31" s="2" t="s">
        <v>49</v>
      </c>
      <c r="E31" s="3">
        <v>49282</v>
      </c>
      <c r="F31" s="4">
        <v>42204</v>
      </c>
      <c r="G31" s="5">
        <v>2</v>
      </c>
      <c r="H31" s="2" t="s">
        <v>37</v>
      </c>
      <c r="I31" s="6" t="s">
        <v>89</v>
      </c>
      <c r="K31" s="32">
        <v>3</v>
      </c>
      <c r="L31" s="22">
        <f>COUNTIFS($G$3:$G$152,"=3",$C$3:$C$152,"IT",$H$3:$H$152,"Male")</f>
        <v>0</v>
      </c>
      <c r="M31" s="30">
        <f>COUNTIFS($G$3:$G$152,"=3",$C$3:$C$152,"IT",$H$3:$H$152,"Female")</f>
        <v>1</v>
      </c>
      <c r="N31" s="22">
        <f>COUNTIFS($G$3:$G$152,"=3",$C$3:$C$152,"IT",$H$3:$H$152,"Other")</f>
        <v>3</v>
      </c>
      <c r="O31" s="30">
        <f>COUNTIFS($G$3:$G$152,"=3",$C$3:$C$152,"IT",$H$3:$H$152,"Unknown")</f>
        <v>0</v>
      </c>
      <c r="P31" s="23">
        <f>COUNTIFS($G$3:$G$152,"=3",$C$3:$C$152,"IT",$H$3:$H$152,"Un-known")</f>
        <v>1</v>
      </c>
      <c r="S31" s="117" t="s">
        <v>297</v>
      </c>
      <c r="T31" s="117"/>
      <c r="U31" s="117"/>
      <c r="V31" s="117"/>
      <c r="W31" s="117"/>
      <c r="X31" s="117"/>
      <c r="Y31" s="117"/>
      <c r="Z31" s="117"/>
    </row>
    <row r="32" spans="1:26">
      <c r="A32" s="1" t="s">
        <v>90</v>
      </c>
      <c r="B32" s="2" t="s">
        <v>56</v>
      </c>
      <c r="C32" s="2" t="s">
        <v>44</v>
      </c>
      <c r="D32" s="2" t="s">
        <v>49</v>
      </c>
      <c r="E32" s="3">
        <v>92959</v>
      </c>
      <c r="F32" s="4">
        <v>42211</v>
      </c>
      <c r="G32" s="5">
        <v>5</v>
      </c>
      <c r="H32" s="2" t="s">
        <v>11</v>
      </c>
      <c r="I32" s="6" t="s">
        <v>91</v>
      </c>
      <c r="K32" s="32">
        <v>2</v>
      </c>
      <c r="L32" s="22">
        <f>COUNTIFS($G$3:$G$152,"=2",$C$3:$C$152,"IT",$H$3:$H$152,"Male")</f>
        <v>0</v>
      </c>
      <c r="M32" s="30">
        <f>COUNTIFS($G$3:$G$152,"=2",$C$3:$C$152,"IT",$H$3:$H$152,"Female")</f>
        <v>1</v>
      </c>
      <c r="N32" s="22">
        <f>COUNTIFS($G$3:$G$152,"=2",$C$3:$C$152,"IT",$H$3:$H$152,"Other")</f>
        <v>0</v>
      </c>
      <c r="O32" s="30">
        <f>COUNTIFS($G$3:$G$152,"=2",$C$3:$C$152,"IT",$H$3:$H$152,"Unknown")</f>
        <v>0</v>
      </c>
      <c r="P32" s="23">
        <f>COUNTIFS($G$3:$G$152,"=2",$C$3:$C$152,"IT",$H$3:$H$152,"Un-known")</f>
        <v>1</v>
      </c>
      <c r="S32" s="40"/>
      <c r="T32" s="40"/>
      <c r="U32" s="40"/>
      <c r="V32" s="40"/>
      <c r="W32" s="40"/>
      <c r="X32" s="40"/>
      <c r="Y32" s="40"/>
      <c r="Z32" s="40"/>
    </row>
    <row r="33" spans="1:26" ht="15.75">
      <c r="A33" s="1" t="s">
        <v>92</v>
      </c>
      <c r="B33" s="2" t="s">
        <v>11</v>
      </c>
      <c r="C33" s="2" t="s">
        <v>44</v>
      </c>
      <c r="D33" s="2" t="s">
        <v>11</v>
      </c>
      <c r="E33" s="3">
        <v>92259</v>
      </c>
      <c r="F33" s="4" t="s">
        <v>11</v>
      </c>
      <c r="G33" s="5">
        <v>1</v>
      </c>
      <c r="H33" s="2" t="s">
        <v>14</v>
      </c>
      <c r="I33" s="6" t="s">
        <v>93</v>
      </c>
      <c r="K33" s="32">
        <v>1</v>
      </c>
      <c r="L33" s="22">
        <f>COUNTIFS($G$3:$G$152,"=1",$C$3:$C$152,"IT",$H$3:$H$152,"Male")</f>
        <v>3</v>
      </c>
      <c r="M33" s="30">
        <f>COUNTIFS($G$3:$G$152,"=1",$C$3:$C$152,"IT",$H$3:$H$152,"Female")</f>
        <v>1</v>
      </c>
      <c r="N33" s="22">
        <f>COUNTIFS($G$3:$G$152,"=1",$C$3:$C$152,"IT",$H$3:$H$152,"Other")</f>
        <v>0</v>
      </c>
      <c r="O33" s="30">
        <f>COUNTIFS($G$3:$G$152,"=1",$C$3:$C$152,"IT",$H$3:$H$152,"Unknown")</f>
        <v>0</v>
      </c>
      <c r="P33" s="23">
        <f>COUNTIFS($G$3:$G$152,"=1",$C$3:$C$152,"IT",$H$3:$H$152,"Un-known")</f>
        <v>1</v>
      </c>
      <c r="S33" s="24" t="s">
        <v>298</v>
      </c>
      <c r="T33" s="35" t="s">
        <v>299</v>
      </c>
      <c r="U33" s="28"/>
      <c r="V33" s="35"/>
      <c r="W33" s="28"/>
      <c r="X33" s="28"/>
      <c r="Y33" s="53"/>
      <c r="Z33" s="58" t="s">
        <v>300</v>
      </c>
    </row>
    <row r="34" spans="1:26">
      <c r="A34" s="1" t="s">
        <v>94</v>
      </c>
      <c r="B34" s="2" t="s">
        <v>17</v>
      </c>
      <c r="C34" s="2" t="s">
        <v>18</v>
      </c>
      <c r="D34" s="2" t="s">
        <v>19</v>
      </c>
      <c r="E34" s="3">
        <v>92299</v>
      </c>
      <c r="F34" s="4">
        <v>42225</v>
      </c>
      <c r="G34" s="5">
        <v>3</v>
      </c>
      <c r="H34" s="2" t="s">
        <v>29</v>
      </c>
      <c r="I34" s="6" t="s">
        <v>95</v>
      </c>
      <c r="K34" s="32">
        <v>0</v>
      </c>
      <c r="L34" s="22">
        <f>COUNTIFS($G$3:$G$152,"=0",$C$3:$C$152,"IT",$H$3:$H$152,"Male")</f>
        <v>0</v>
      </c>
      <c r="M34" s="30">
        <f>COUNTIFS($G$3:$G$152,"=0",$C$3:$C$152,"IT",$H$3:$H$152,"Female")</f>
        <v>0</v>
      </c>
      <c r="N34" s="22">
        <f>COUNTIFS($G$3:$G$152,"=0",$C$3:$C$152,"IT",$H$3:$H$152,"Other")</f>
        <v>0</v>
      </c>
      <c r="O34" s="30">
        <f>COUNTIFS($G$3:$G$152,"=0",$C$3:$C$152,"IT",$H$3:$H$152,"Unknown")</f>
        <v>0</v>
      </c>
      <c r="P34" s="23">
        <f>COUNTIFS($G$3:$G$152,"=0",$C$3:$C$152,"IT",$H$3:$H$152,"Un-known")</f>
        <v>0</v>
      </c>
      <c r="S34" s="48"/>
      <c r="T34" s="118" t="s">
        <v>12</v>
      </c>
      <c r="U34" s="119" t="s">
        <v>18</v>
      </c>
      <c r="V34" s="20" t="s">
        <v>35</v>
      </c>
      <c r="W34" s="120" t="s">
        <v>27</v>
      </c>
      <c r="X34" s="119" t="s">
        <v>44</v>
      </c>
      <c r="Y34" s="121" t="s">
        <v>11</v>
      </c>
      <c r="Z34" s="59"/>
    </row>
    <row r="35" spans="1:26">
      <c r="A35" s="1" t="s">
        <v>96</v>
      </c>
      <c r="B35" s="2" t="s">
        <v>40</v>
      </c>
      <c r="C35" s="2" t="s">
        <v>18</v>
      </c>
      <c r="D35" s="2" t="s">
        <v>11</v>
      </c>
      <c r="E35" s="3">
        <v>95586</v>
      </c>
      <c r="F35" s="4">
        <v>42232</v>
      </c>
      <c r="G35" s="5">
        <v>3</v>
      </c>
      <c r="H35" s="2" t="s">
        <v>20</v>
      </c>
      <c r="I35" s="6" t="s">
        <v>97</v>
      </c>
      <c r="K35" s="33" t="s">
        <v>41</v>
      </c>
      <c r="L35" s="22">
        <f>COUNTIFS($G$3:$G$152,"N/A",$C$3:$C$152,"IT",$H$3:$H$152,"Male")</f>
        <v>3</v>
      </c>
      <c r="M35" s="30">
        <f>COUNTIFS($G$3:$G$152,"N/A",$C$3:$C$152,"IT",$H$3:$H$152,"Female")</f>
        <v>3</v>
      </c>
      <c r="N35" s="22">
        <f>COUNTIFS($G$3:$G$152,"N/A",$C$3:$C$152,"IT",$H$3:$H$152,"Other")</f>
        <v>0</v>
      </c>
      <c r="O35" s="30">
        <f>COUNTIFS($G$3:$G$152,"N/A",$C$3:$C$152,"IT",$H$3:$H$152,"Unknown")</f>
        <v>0</v>
      </c>
      <c r="P35" s="23">
        <f>COUNTIFS($G$3:$G$152,"N/A",$C$3:$C$152,"IT",$H$3:$H$152,"Un-known")</f>
        <v>1</v>
      </c>
      <c r="S35" s="57" t="s">
        <v>66</v>
      </c>
      <c r="T35" s="52">
        <f>COUNTIFS($C$3:$C$152,"Finance",$D$3:$D$152,"Australia")</f>
        <v>2</v>
      </c>
      <c r="U35" s="52">
        <f>COUNTIFS($C$3:$C$152,"HR",$D$3:$D$152,"Australia")</f>
        <v>1</v>
      </c>
      <c r="V35" s="52">
        <f>COUNTIFS($C$3:$C$152,"IT",$D$3:$D$152,"Australia")</f>
        <v>1</v>
      </c>
      <c r="W35" s="52">
        <f>COUNTIFS($C$3:$C$152,"Sales",$D$3:$D$152,"Australia")</f>
        <v>6</v>
      </c>
      <c r="X35" s="52">
        <f>COUNTIFS($C$3:$C$152,"Marketing",$D$3:$D$152,"Australia")</f>
        <v>4</v>
      </c>
      <c r="Y35" s="55">
        <f>COUNTIFS($C$3:$C$152,"Un-known",$D$3:$D$152,"Australia")</f>
        <v>5</v>
      </c>
      <c r="Z35" s="47">
        <f>COUNTIF($D$3:$D$152,"Australia")</f>
        <v>19</v>
      </c>
    </row>
    <row r="36" spans="1:26">
      <c r="A36" s="1" t="s">
        <v>98</v>
      </c>
      <c r="B36" s="2" t="s">
        <v>43</v>
      </c>
      <c r="C36" s="2" t="s">
        <v>11</v>
      </c>
      <c r="D36" s="2" t="s">
        <v>28</v>
      </c>
      <c r="E36" s="3">
        <v>95367</v>
      </c>
      <c r="F36" s="4">
        <v>42239</v>
      </c>
      <c r="G36" s="5" t="s">
        <v>41</v>
      </c>
      <c r="H36" s="2" t="s">
        <v>29</v>
      </c>
      <c r="I36" s="6" t="s">
        <v>99</v>
      </c>
      <c r="K36" s="36" t="s">
        <v>296</v>
      </c>
      <c r="L36" s="38">
        <f>SUM(L29:L35)</f>
        <v>9</v>
      </c>
      <c r="M36" s="38">
        <f>SUM(M29:M35)</f>
        <v>8</v>
      </c>
      <c r="N36" s="38">
        <f>SUM(N29:N35)</f>
        <v>3</v>
      </c>
      <c r="O36" s="38">
        <f>SUM(O29:O35)</f>
        <v>1</v>
      </c>
      <c r="P36" s="38">
        <f>SUM(P29:P35)</f>
        <v>4</v>
      </c>
      <c r="Q36" s="38">
        <f>COUNTIFS($C$3:$C$152,"IT")</f>
        <v>25</v>
      </c>
      <c r="S36" s="32" t="s">
        <v>19</v>
      </c>
      <c r="T36" s="44">
        <f>COUNTIFS($C$3:$C$152,"Finance",$D$3:$D$152,"Germany")</f>
        <v>1</v>
      </c>
      <c r="U36" s="44">
        <f>COUNTIFS($C$3:$C$152,"HR",$D$3:$D$152,"Germany")</f>
        <v>9</v>
      </c>
      <c r="V36" s="44">
        <f>COUNTIFS($C$3:$C$152,"IT",$D$3:$D$152,"Germany")</f>
        <v>4</v>
      </c>
      <c r="W36" s="44">
        <f>COUNTIFS($C$3:$C$152,"Sales",$D$3:$D$152,"Germany")</f>
        <v>3</v>
      </c>
      <c r="X36" s="44">
        <f>COUNTIFS($C$3:$C$152,"Marketing",$D$3:$D$152,"Germany")</f>
        <v>2</v>
      </c>
      <c r="Y36" s="45">
        <f>COUNTIFS($C$3:$C$152,"Un-known",$D$3:$D$152,"Germany")</f>
        <v>4</v>
      </c>
      <c r="Z36" s="56">
        <f>COUNTIF($D$3:$D$152,"Germany")</f>
        <v>23</v>
      </c>
    </row>
    <row r="37" spans="1:26">
      <c r="A37" s="1" t="s">
        <v>100</v>
      </c>
      <c r="B37" s="2" t="s">
        <v>26</v>
      </c>
      <c r="C37" s="2" t="s">
        <v>27</v>
      </c>
      <c r="D37" s="2" t="s">
        <v>66</v>
      </c>
      <c r="E37" s="3">
        <v>79549</v>
      </c>
      <c r="F37" s="4">
        <v>42246</v>
      </c>
      <c r="G37" s="5">
        <v>3</v>
      </c>
      <c r="H37" s="2" t="s">
        <v>11</v>
      </c>
      <c r="I37" s="6" t="s">
        <v>101</v>
      </c>
      <c r="K37" s="37"/>
      <c r="L37" s="39"/>
      <c r="M37" s="39"/>
      <c r="N37" s="39"/>
      <c r="O37" s="39"/>
      <c r="P37" s="39"/>
      <c r="Q37" s="39"/>
      <c r="S37" s="31" t="s">
        <v>36</v>
      </c>
      <c r="T37" s="42">
        <f>COUNTIFS($C$3:$C$152,"Finance",$D$3:$D$152,"India")</f>
        <v>5</v>
      </c>
      <c r="U37" s="42">
        <f>COUNTIFS($C$3:$C$152,"HR",$D$3:$D$152,"India")</f>
        <v>1</v>
      </c>
      <c r="V37" s="42">
        <f>COUNTIFS($C$3:$C$152,"IT",$D$3:$D$152,"India")</f>
        <v>6</v>
      </c>
      <c r="W37" s="42">
        <f>COUNTIFS($C$3:$C$152,"Sales",$D$3:$D$152,"India")</f>
        <v>7</v>
      </c>
      <c r="X37" s="42">
        <f>COUNTIFS($C$3:$C$152,"Marketing",$D$3:$D$152,"India")</f>
        <v>5</v>
      </c>
      <c r="Y37" s="43">
        <f>COUNTIFS($C$3:$C$152,"Un-known",$D$3:$D$152,"India")</f>
        <v>4</v>
      </c>
      <c r="Z37" s="47">
        <f>COUNTIF($D$3:$D$152,"India")</f>
        <v>28</v>
      </c>
    </row>
    <row r="38" spans="1:26">
      <c r="A38" s="1" t="s">
        <v>102</v>
      </c>
      <c r="B38" s="2" t="s">
        <v>23</v>
      </c>
      <c r="C38" s="2" t="s">
        <v>11</v>
      </c>
      <c r="D38" s="2" t="s">
        <v>49</v>
      </c>
      <c r="E38" s="3">
        <v>54463</v>
      </c>
      <c r="F38" s="4">
        <v>42253</v>
      </c>
      <c r="G38" s="5">
        <v>4</v>
      </c>
      <c r="H38" s="2" t="s">
        <v>29</v>
      </c>
      <c r="I38" s="6" t="s">
        <v>15</v>
      </c>
      <c r="S38" s="31" t="s">
        <v>49</v>
      </c>
      <c r="T38" s="42">
        <f>COUNTIFS($C$3:$C$152,"Finance",$D$3:$D$152,"UK")</f>
        <v>5</v>
      </c>
      <c r="U38" s="42">
        <f>COUNTIFS($C$3:$C$152,"HR",$D$3:$D$152,"UK")</f>
        <v>4</v>
      </c>
      <c r="V38" s="42">
        <f>COUNTIFS($C$3:$C$152,"IT",$D$3:$D$152,"UK")</f>
        <v>4</v>
      </c>
      <c r="W38" s="42">
        <f>COUNTIFS($C$3:$C$152,"Sales",$D$3:$D$152,"UK")</f>
        <v>1</v>
      </c>
      <c r="X38" s="42">
        <f>COUNTIFS($C$3:$C$152,"Marketing",$D$3:$D$152,"UK")</f>
        <v>6</v>
      </c>
      <c r="Y38" s="43">
        <f>COUNTIFS($C$3:$C$152,"Un-known",$D$3:$D$152,"UK")</f>
        <v>5</v>
      </c>
      <c r="Z38" s="47">
        <f>COUNTIF($D$3:$D$152,"UK")</f>
        <v>25</v>
      </c>
    </row>
    <row r="39" spans="1:26">
      <c r="A39" s="1" t="s">
        <v>103</v>
      </c>
      <c r="B39" s="2" t="s">
        <v>23</v>
      </c>
      <c r="C39" s="2" t="s">
        <v>35</v>
      </c>
      <c r="D39" s="2" t="s">
        <v>28</v>
      </c>
      <c r="E39" s="3">
        <v>89781</v>
      </c>
      <c r="F39" s="4">
        <v>42260</v>
      </c>
      <c r="G39" s="5" t="s">
        <v>41</v>
      </c>
      <c r="H39" s="2" t="s">
        <v>37</v>
      </c>
      <c r="I39" s="6" t="s">
        <v>104</v>
      </c>
      <c r="K39" s="89" t="s">
        <v>287</v>
      </c>
      <c r="L39" s="91" t="s">
        <v>301</v>
      </c>
      <c r="M39" s="92"/>
      <c r="N39" s="92"/>
      <c r="O39" s="92"/>
      <c r="P39" s="93"/>
      <c r="S39" s="31" t="s">
        <v>28</v>
      </c>
      <c r="T39" s="42">
        <f>COUNTIFS($C$3:$C$152,"Finance",$D$3:$D$152,"USA")</f>
        <v>3</v>
      </c>
      <c r="U39" s="42">
        <f>COUNTIFS($C$3:$C$152,"HR",$D$3:$D$152,"USA")</f>
        <v>3</v>
      </c>
      <c r="V39" s="42">
        <f>COUNTIFS($C$3:$C$152,"IT",$D$3:$D$152,"USA")</f>
        <v>5</v>
      </c>
      <c r="W39" s="42">
        <f>COUNTIFS($C$3:$C$152,"Sales",$D$3:$D$152,"USA")</f>
        <v>6</v>
      </c>
      <c r="X39" s="42">
        <f>COUNTIFS($C$3:$C$152,"Marketing",$D$3:$D$152,"USA")</f>
        <v>4</v>
      </c>
      <c r="Y39" s="43">
        <f>COUNTIFS($C$3:$C$152,"Un-known",$D$3:$D$152,"USA")</f>
        <v>3</v>
      </c>
      <c r="Z39" s="47">
        <f>COUNTIF($D$3:$D$152,"USA")</f>
        <v>24</v>
      </c>
    </row>
    <row r="40" spans="1:26">
      <c r="A40" s="1" t="s">
        <v>105</v>
      </c>
      <c r="B40" s="2" t="s">
        <v>23</v>
      </c>
      <c r="C40" s="2" t="s">
        <v>18</v>
      </c>
      <c r="D40" s="2" t="s">
        <v>11</v>
      </c>
      <c r="E40" s="3">
        <v>64796</v>
      </c>
      <c r="F40" s="4">
        <v>42267</v>
      </c>
      <c r="G40" s="5" t="s">
        <v>41</v>
      </c>
      <c r="H40" s="2" t="s">
        <v>20</v>
      </c>
      <c r="I40" s="6" t="s">
        <v>106</v>
      </c>
      <c r="K40" s="90"/>
      <c r="L40" s="25" t="s">
        <v>29</v>
      </c>
      <c r="M40" s="34" t="s">
        <v>37</v>
      </c>
      <c r="N40" s="26" t="s">
        <v>20</v>
      </c>
      <c r="O40" s="29" t="s">
        <v>14</v>
      </c>
      <c r="P40" s="27" t="s">
        <v>11</v>
      </c>
      <c r="S40" s="51" t="s">
        <v>11</v>
      </c>
      <c r="T40" s="52">
        <f>COUNTIFS($C$3:$C$152,"Finance",$D$3:$D$152,"Un-known")</f>
        <v>6</v>
      </c>
      <c r="U40" s="52">
        <f>COUNTIFS($C$3:$C$152,"HR",$D$3:$D$152,"Un-known")</f>
        <v>6</v>
      </c>
      <c r="V40" s="52">
        <f>COUNTIFS($C$3:$C$152,"IT",$D$3:$D$152,"Un-known")</f>
        <v>5</v>
      </c>
      <c r="W40" s="52">
        <f>COUNTIFS($C$3:$C$152,"Sales",$D$3:$D$152,"Un-known")</f>
        <v>3</v>
      </c>
      <c r="X40" s="52">
        <f>COUNTIFS($C$3:$C$152,"Marketing",$D$3:$D$152,"Un-known")</f>
        <v>8</v>
      </c>
      <c r="Y40" s="55">
        <f>COUNTIFS($C$3:$C$152,"Un-known",$D$3:$D$152,"Un-known")</f>
        <v>3</v>
      </c>
      <c r="Z40" s="47">
        <f>COUNTIF($D$3:$D$152,"Un-known")</f>
        <v>31</v>
      </c>
    </row>
    <row r="41" spans="1:26">
      <c r="A41" s="1" t="s">
        <v>107</v>
      </c>
      <c r="B41" s="2" t="s">
        <v>26</v>
      </c>
      <c r="C41" s="2" t="s">
        <v>44</v>
      </c>
      <c r="D41" s="2" t="s">
        <v>49</v>
      </c>
      <c r="E41" s="3">
        <v>52093</v>
      </c>
      <c r="F41" s="4">
        <v>42274</v>
      </c>
      <c r="G41" s="5">
        <v>5</v>
      </c>
      <c r="H41" s="2" t="s">
        <v>11</v>
      </c>
      <c r="I41" s="6" t="s">
        <v>108</v>
      </c>
      <c r="K41" s="31">
        <v>5</v>
      </c>
      <c r="L41" s="22">
        <f>COUNTIFS($G$3:$G$152,"=5",$C$3:$C$152,"Sales",$H$3:$H$152,"Male")</f>
        <v>1</v>
      </c>
      <c r="M41" s="30">
        <f>COUNTIFS($G$3:$G$152,"=5",$C$3:$C$152,"Sales",$H$3:$H$152,"Female")</f>
        <v>2</v>
      </c>
      <c r="N41" s="22">
        <f>COUNTIFS($G$3:$G$152,"=5",$C$3:$C$152,"Sales",$H$3:$H$152,"Other")</f>
        <v>0</v>
      </c>
      <c r="O41" s="30">
        <f>COUNTIFS($G$3:$G$152,"=5",$C$3:$C$152,"Sales",$H$3:$H$152,"Unknown")</f>
        <v>0</v>
      </c>
      <c r="P41" s="23">
        <f>COUNTIFS($G$3:$G$152,"=5",$C$3:$C$152,"Sales",$H$3:$H$152,"Un-known")</f>
        <v>1</v>
      </c>
    </row>
    <row r="42" spans="1:26">
      <c r="A42" s="1" t="s">
        <v>109</v>
      </c>
      <c r="B42" s="2" t="s">
        <v>43</v>
      </c>
      <c r="C42" s="2" t="s">
        <v>18</v>
      </c>
      <c r="D42" s="2" t="s">
        <v>49</v>
      </c>
      <c r="E42" s="3">
        <v>48224</v>
      </c>
      <c r="F42" s="4">
        <v>42281</v>
      </c>
      <c r="G42" s="5">
        <v>3</v>
      </c>
      <c r="H42" s="2" t="s">
        <v>11</v>
      </c>
      <c r="I42" s="6" t="s">
        <v>110</v>
      </c>
      <c r="K42" s="32">
        <v>4</v>
      </c>
      <c r="L42" s="22">
        <f>COUNTIFS($G$3:$G$152,"=4",$C$3:$C$152,"Sales",$H$3:$H$152,"Male")</f>
        <v>0</v>
      </c>
      <c r="M42" s="30">
        <f>COUNTIFS($G$3:$G$152,"=4",$C$3:$C$152,"Sales",$H$3:$H$152,"Female")</f>
        <v>1</v>
      </c>
      <c r="N42" s="22">
        <f>COUNTIFS($G$3:$G$152,"=4",$C$3:$C$152,"Sales",$H$3:$H$152,"Other")</f>
        <v>1</v>
      </c>
      <c r="O42" s="30">
        <f>COUNTIFS($G$3:$G$152,"=4",$C$3:$C$152,"Sales",$H$3:$H$152,"Unknown")</f>
        <v>0</v>
      </c>
      <c r="P42" s="23">
        <f>COUNTIFS($G$3:$G$152,"=4",$C$3:$C$152,"Sales",$H$3:$H$152,"Un-known")</f>
        <v>0</v>
      </c>
    </row>
    <row r="43" spans="1:26">
      <c r="A43" s="1" t="s">
        <v>111</v>
      </c>
      <c r="B43" s="2" t="s">
        <v>56</v>
      </c>
      <c r="C43" s="2" t="s">
        <v>12</v>
      </c>
      <c r="D43" s="2" t="s">
        <v>49</v>
      </c>
      <c r="E43" s="3" t="s">
        <v>13</v>
      </c>
      <c r="F43" s="4" t="s">
        <v>11</v>
      </c>
      <c r="G43" s="5">
        <v>4</v>
      </c>
      <c r="H43" s="2" t="s">
        <v>37</v>
      </c>
      <c r="I43" s="6" t="s">
        <v>112</v>
      </c>
      <c r="K43" s="32">
        <v>3</v>
      </c>
      <c r="L43" s="22">
        <f>COUNTIFS($G$3:$G$152,"=3",$C$3:$C$152,"Sales",$H$3:$H$152,"Male")</f>
        <v>2</v>
      </c>
      <c r="M43" s="30">
        <f>COUNTIFS($G$3:$G$152,"=3",$C$3:$C$152,"Sales",$H$3:$H$152,"Female")</f>
        <v>2</v>
      </c>
      <c r="N43" s="22">
        <f>COUNTIFS($G$3:$G$152,"=3",$C$3:$C$152,"Sales",$H$3:$H$152,"Other")</f>
        <v>0</v>
      </c>
      <c r="O43" s="30">
        <f>COUNTIFS($G$3:$G$152,"=3",$C$3:$C$152,"Sales",$H$3:$H$152,"Unknown")</f>
        <v>0</v>
      </c>
      <c r="P43" s="23">
        <f>COUNTIFS($G$3:$G$152,"=3",$C$3:$C$152,"Sales",$H$3:$H$152,"Un-known")</f>
        <v>2</v>
      </c>
    </row>
    <row r="44" spans="1:26">
      <c r="A44" s="1" t="s">
        <v>113</v>
      </c>
      <c r="B44" s="2" t="s">
        <v>23</v>
      </c>
      <c r="C44" s="2" t="s">
        <v>35</v>
      </c>
      <c r="D44" s="2" t="s">
        <v>19</v>
      </c>
      <c r="E44" s="3">
        <v>33956</v>
      </c>
      <c r="F44" s="4">
        <v>42295</v>
      </c>
      <c r="G44" s="5" t="s">
        <v>41</v>
      </c>
      <c r="H44" s="2" t="s">
        <v>11</v>
      </c>
      <c r="I44" s="6" t="s">
        <v>114</v>
      </c>
      <c r="K44" s="32">
        <v>2</v>
      </c>
      <c r="L44" s="22">
        <f>COUNTIFS($G$3:$G$152,"=2",$C$3:$C$152,"Sales",$H$3:$H$152,"Male")</f>
        <v>0</v>
      </c>
      <c r="M44" s="30">
        <f>COUNTIFS($G$3:$G$152,"=2",$C$3:$C$152,"Sales",$H$3:$H$152,"Female")</f>
        <v>2</v>
      </c>
      <c r="N44" s="22">
        <f>COUNTIFS($G$3:$G$152,"=2",$C$3:$C$152,"Sales",$H$3:$H$152,"Other")</f>
        <v>1</v>
      </c>
      <c r="O44" s="30">
        <f>COUNTIFS($G$3:$G$152,"=2",$C$3:$C$152,"Sales",$H$3:$H$152,"Unknown")</f>
        <v>0</v>
      </c>
      <c r="P44" s="23">
        <f>COUNTIFS($G$3:$G$152,"=2",$C$3:$C$152,"Sales",$H$3:$H$152,"Un-known")</f>
        <v>1</v>
      </c>
    </row>
    <row r="45" spans="1:26">
      <c r="A45" s="1" t="s">
        <v>115</v>
      </c>
      <c r="B45" s="2" t="s">
        <v>56</v>
      </c>
      <c r="C45" s="2" t="s">
        <v>11</v>
      </c>
      <c r="D45" s="2" t="s">
        <v>66</v>
      </c>
      <c r="E45" s="3">
        <v>64913</v>
      </c>
      <c r="F45" s="4">
        <v>42302</v>
      </c>
      <c r="G45" s="5">
        <v>1</v>
      </c>
      <c r="H45" s="2" t="s">
        <v>37</v>
      </c>
      <c r="I45" s="6" t="s">
        <v>116</v>
      </c>
      <c r="K45" s="32">
        <v>1</v>
      </c>
      <c r="L45" s="22">
        <f>COUNTIFS($G$3:$G$152,"=1",$C$3:$C$152,"Sales",$H$3:$H$152,"Male")</f>
        <v>3</v>
      </c>
      <c r="M45" s="30">
        <f>COUNTIFS($G$3:$G$152,"=1",$C$3:$C$152,"Sales",$H$3:$H$152,"Female")</f>
        <v>0</v>
      </c>
      <c r="N45" s="22">
        <f>COUNTIFS($G$3:$G$152,"=1",$C$3:$C$152,"Sales",$H$3:$H$152,"Other")</f>
        <v>1</v>
      </c>
      <c r="O45" s="30">
        <f>COUNTIFS($G$3:$G$152,"=1",$C$3:$C$152,"Sales",$H$3:$H$152,"Unknown")</f>
        <v>0</v>
      </c>
      <c r="P45" s="23">
        <f>COUNTIFS($G$3:$G$152,"=1",$C$3:$C$152,"Sales",$H$3:$H$152,"Un-known")</f>
        <v>2</v>
      </c>
    </row>
    <row r="46" spans="1:26">
      <c r="A46" s="1" t="s">
        <v>117</v>
      </c>
      <c r="B46" s="2" t="s">
        <v>23</v>
      </c>
      <c r="C46" s="2" t="s">
        <v>44</v>
      </c>
      <c r="D46" s="2" t="s">
        <v>66</v>
      </c>
      <c r="E46" s="3">
        <v>35326</v>
      </c>
      <c r="F46" s="4">
        <v>42309</v>
      </c>
      <c r="G46" s="5" t="s">
        <v>41</v>
      </c>
      <c r="H46" s="2" t="s">
        <v>37</v>
      </c>
      <c r="I46" s="6" t="s">
        <v>118</v>
      </c>
      <c r="K46" s="32">
        <v>0</v>
      </c>
      <c r="L46" s="22">
        <f>COUNTIFS($G$3:$G$152,"=0",$C$3:$C$152,"Sales",$H$3:$H$152,"Male")</f>
        <v>0</v>
      </c>
      <c r="M46" s="30">
        <f>COUNTIFS($G$3:$G$152,"=0",$C$3:$C$152,"Sales",$H$3:$H$152,"Female")</f>
        <v>0</v>
      </c>
      <c r="N46" s="22">
        <f>COUNTIFS($G$3:$G$152,"=0",$C$3:$C$152,"Sales",$H$3:$H$152,"Other")</f>
        <v>0</v>
      </c>
      <c r="O46" s="30">
        <f>COUNTIFS($G$3:$G$152,"=0",$C$3:$C$152,"Sales",$H$3:$H$152,"Unknown")</f>
        <v>0</v>
      </c>
      <c r="P46" s="23">
        <f>COUNTIFS($G$3:$G$152,"=0",$C$3:$C$152,"Sales",$H$3:$H$152,"Un-known")</f>
        <v>0</v>
      </c>
    </row>
    <row r="47" spans="1:26">
      <c r="A47" s="1" t="s">
        <v>119</v>
      </c>
      <c r="B47" s="2" t="s">
        <v>43</v>
      </c>
      <c r="C47" s="2" t="s">
        <v>12</v>
      </c>
      <c r="D47" s="2" t="s">
        <v>11</v>
      </c>
      <c r="E47" s="3">
        <v>81610</v>
      </c>
      <c r="F47" s="4">
        <v>42316</v>
      </c>
      <c r="G47" s="5">
        <v>1</v>
      </c>
      <c r="H47" s="2" t="s">
        <v>11</v>
      </c>
      <c r="I47" s="6" t="s">
        <v>120</v>
      </c>
      <c r="K47" s="33" t="s">
        <v>41</v>
      </c>
      <c r="L47" s="22">
        <f>COUNTIFS($G$3:$G$152,"N/A",$C$3:$C$152,"Sales",$H$3:$H$152,"Male")</f>
        <v>1</v>
      </c>
      <c r="M47" s="30">
        <f>COUNTIFS($G$3:$G$152,"N/A",$C$3:$C$152,"Sales",$H$3:$H$152,"Female")</f>
        <v>1</v>
      </c>
      <c r="N47" s="22">
        <f>COUNTIFS($G$3:$G$152,"N/A",$C$3:$C$152,"Sales",$H$3:$H$152,"Other")</f>
        <v>1</v>
      </c>
      <c r="O47" s="30">
        <f>COUNTIFS($G$3:$G$152,"N/A",$C$3:$C$152,"Sales",$H$3:$H$152,"Unknown")</f>
        <v>0</v>
      </c>
      <c r="P47" s="23">
        <f>COUNTIFS($G$3:$G$152,"N/A",$C$3:$C$152,"Sales",$H$3:$H$152,"Un-known")</f>
        <v>1</v>
      </c>
    </row>
    <row r="48" spans="1:26">
      <c r="A48" s="1" t="s">
        <v>121</v>
      </c>
      <c r="B48" s="2" t="s">
        <v>11</v>
      </c>
      <c r="C48" s="2" t="s">
        <v>18</v>
      </c>
      <c r="D48" s="2" t="s">
        <v>11</v>
      </c>
      <c r="E48" s="3">
        <v>58962</v>
      </c>
      <c r="F48" s="4">
        <v>42323</v>
      </c>
      <c r="G48" s="5">
        <v>3</v>
      </c>
      <c r="H48" s="2" t="s">
        <v>20</v>
      </c>
      <c r="I48" s="6" t="s">
        <v>21</v>
      </c>
      <c r="K48" s="36" t="s">
        <v>296</v>
      </c>
      <c r="L48" s="38">
        <f>SUM(L41:L47)</f>
        <v>7</v>
      </c>
      <c r="M48" s="38">
        <f>SUM(M41:M47)</f>
        <v>8</v>
      </c>
      <c r="N48" s="38">
        <f>SUM(N41:N47)</f>
        <v>4</v>
      </c>
      <c r="O48" s="38">
        <f>SUM(O41:O47)</f>
        <v>0</v>
      </c>
      <c r="P48" s="38">
        <f>SUM(P41:P47)</f>
        <v>7</v>
      </c>
      <c r="Q48" s="38">
        <f>COUNTIFS($C$3:$C$152,"Sales")</f>
        <v>26</v>
      </c>
    </row>
    <row r="49" spans="1:17">
      <c r="A49" s="1" t="s">
        <v>122</v>
      </c>
      <c r="B49" s="2" t="s">
        <v>43</v>
      </c>
      <c r="C49" s="2" t="s">
        <v>35</v>
      </c>
      <c r="D49" s="2" t="s">
        <v>19</v>
      </c>
      <c r="E49" s="3">
        <v>92701</v>
      </c>
      <c r="F49" s="4">
        <v>42330</v>
      </c>
      <c r="G49" s="5">
        <v>3</v>
      </c>
      <c r="H49" s="2" t="s">
        <v>20</v>
      </c>
      <c r="I49" s="6" t="s">
        <v>123</v>
      </c>
      <c r="K49" s="37"/>
      <c r="L49" s="39"/>
      <c r="M49" s="39"/>
      <c r="N49" s="39"/>
      <c r="O49" s="39"/>
      <c r="P49" s="39"/>
      <c r="Q49" s="39"/>
    </row>
    <row r="50" spans="1:17">
      <c r="A50" s="1" t="s">
        <v>124</v>
      </c>
      <c r="B50" s="2" t="s">
        <v>43</v>
      </c>
      <c r="C50" s="2" t="s">
        <v>18</v>
      </c>
      <c r="D50" s="2" t="s">
        <v>36</v>
      </c>
      <c r="E50" s="3">
        <v>58245</v>
      </c>
      <c r="F50" s="4">
        <v>42337</v>
      </c>
      <c r="G50" s="5">
        <v>4</v>
      </c>
      <c r="H50" s="2" t="s">
        <v>11</v>
      </c>
      <c r="I50" s="6" t="s">
        <v>125</v>
      </c>
    </row>
    <row r="51" spans="1:17">
      <c r="A51" s="1" t="s">
        <v>126</v>
      </c>
      <c r="B51" s="2" t="s">
        <v>26</v>
      </c>
      <c r="C51" s="2" t="s">
        <v>12</v>
      </c>
      <c r="D51" s="2" t="s">
        <v>11</v>
      </c>
      <c r="E51" s="3">
        <v>66513</v>
      </c>
      <c r="F51" s="4">
        <v>42344</v>
      </c>
      <c r="G51" s="5">
        <v>2</v>
      </c>
      <c r="H51" s="2" t="s">
        <v>20</v>
      </c>
      <c r="I51" s="6" t="s">
        <v>38</v>
      </c>
      <c r="K51" s="89" t="s">
        <v>287</v>
      </c>
      <c r="L51" s="91" t="s">
        <v>302</v>
      </c>
      <c r="M51" s="92"/>
      <c r="N51" s="92"/>
      <c r="O51" s="92"/>
      <c r="P51" s="93"/>
    </row>
    <row r="52" spans="1:17">
      <c r="A52" s="1" t="s">
        <v>127</v>
      </c>
      <c r="B52" s="2" t="s">
        <v>17</v>
      </c>
      <c r="C52" s="2" t="s">
        <v>18</v>
      </c>
      <c r="D52" s="2" t="s">
        <v>19</v>
      </c>
      <c r="E52" s="3">
        <v>78720</v>
      </c>
      <c r="F52" s="4">
        <v>42351</v>
      </c>
      <c r="G52" s="5">
        <v>5</v>
      </c>
      <c r="H52" s="2" t="s">
        <v>37</v>
      </c>
      <c r="I52" s="6" t="s">
        <v>112</v>
      </c>
      <c r="K52" s="90"/>
      <c r="L52" s="25" t="s">
        <v>29</v>
      </c>
      <c r="M52" s="34" t="s">
        <v>37</v>
      </c>
      <c r="N52" s="26" t="s">
        <v>20</v>
      </c>
      <c r="O52" s="29" t="s">
        <v>14</v>
      </c>
      <c r="P52" s="27" t="s">
        <v>11</v>
      </c>
    </row>
    <row r="53" spans="1:17">
      <c r="A53" s="1" t="s">
        <v>128</v>
      </c>
      <c r="B53" s="2" t="s">
        <v>43</v>
      </c>
      <c r="C53" s="2" t="s">
        <v>11</v>
      </c>
      <c r="D53" s="2" t="s">
        <v>11</v>
      </c>
      <c r="E53" s="3">
        <v>30686</v>
      </c>
      <c r="F53" s="4" t="s">
        <v>11</v>
      </c>
      <c r="G53" s="5">
        <v>2</v>
      </c>
      <c r="H53" s="2" t="s">
        <v>37</v>
      </c>
      <c r="I53" s="6" t="s">
        <v>129</v>
      </c>
      <c r="K53" s="31">
        <v>5</v>
      </c>
      <c r="L53" s="22">
        <f>COUNTIFS($G$3:$G$152,"=5",$C$3:$C$152,"Marketing",$H$3:$H$152,"Male")</f>
        <v>1</v>
      </c>
      <c r="M53" s="30">
        <f>COUNTIFS($G$3:$G$152,"=5",$C$3:$C$152,"Marketing",$H$3:$H$152,"Female")</f>
        <v>1</v>
      </c>
      <c r="N53" s="22">
        <f>COUNTIFS($G$3:$G$152,"=5",$C$3:$C$152,"Marketing",$H$3:$H$152,"Other")</f>
        <v>4</v>
      </c>
      <c r="O53" s="30">
        <f>COUNTIFS($G$3:$G$152,"=5",$C$3:$C$152,"Marketing",$H$3:$H$152,"Unknown")</f>
        <v>1</v>
      </c>
      <c r="P53" s="23">
        <f>COUNTIFS($G$3:$G$152,"=5",$C$3:$C$152,"Marketing",$H$3:$H$152,"Un-known")</f>
        <v>2</v>
      </c>
    </row>
    <row r="54" spans="1:17">
      <c r="A54" s="1" t="s">
        <v>130</v>
      </c>
      <c r="B54" s="2" t="s">
        <v>40</v>
      </c>
      <c r="C54" s="2" t="s">
        <v>27</v>
      </c>
      <c r="D54" s="2" t="s">
        <v>36</v>
      </c>
      <c r="E54" s="3">
        <v>39423</v>
      </c>
      <c r="F54" s="4">
        <v>42365</v>
      </c>
      <c r="G54" s="5">
        <v>5</v>
      </c>
      <c r="H54" s="2" t="s">
        <v>11</v>
      </c>
      <c r="I54" s="6" t="s">
        <v>131</v>
      </c>
      <c r="K54" s="32">
        <v>4</v>
      </c>
      <c r="L54" s="22">
        <f>COUNTIFS($G$3:$G$152,"=4",$C$3:$C$152,"Marketing",$H$3:$H$152,"Male")</f>
        <v>1</v>
      </c>
      <c r="M54" s="30">
        <f>COUNTIFS($G$3:$G$152,"=4",$C$3:$C$152,"Marketing",$H$3:$H$152,"Female")</f>
        <v>2</v>
      </c>
      <c r="N54" s="22">
        <f>COUNTIFS($G$3:$G$152,"=4",$C$3:$C$152,"Marketing",$H$3:$H$152,"Other")</f>
        <v>0</v>
      </c>
      <c r="O54" s="30">
        <f>COUNTIFS($G$3:$G$152,"=4",$C$3:$C$152,"Marketing",$H$3:$H$152,"Unknown")</f>
        <v>0</v>
      </c>
      <c r="P54" s="23">
        <f>COUNTIFS($G$3:$G$152,"=4",$C$3:$C$152,"Marketing",$H$3:$H$152,"Un-known")</f>
        <v>1</v>
      </c>
    </row>
    <row r="55" spans="1:17">
      <c r="A55" s="1" t="s">
        <v>132</v>
      </c>
      <c r="B55" s="2" t="s">
        <v>17</v>
      </c>
      <c r="C55" s="2" t="s">
        <v>44</v>
      </c>
      <c r="D55" s="2" t="s">
        <v>11</v>
      </c>
      <c r="E55" s="3">
        <v>30280</v>
      </c>
      <c r="F55" s="4">
        <v>42372</v>
      </c>
      <c r="G55" s="5">
        <v>1</v>
      </c>
      <c r="H55" s="2" t="s">
        <v>11</v>
      </c>
      <c r="I55" s="6" t="s">
        <v>133</v>
      </c>
      <c r="K55" s="32">
        <v>3</v>
      </c>
      <c r="L55" s="22">
        <f>COUNTIFS($G$3:$G$152,"=3",$C$3:$C$152,"Marketing",$H$3:$H$152,"Male")</f>
        <v>1</v>
      </c>
      <c r="M55" s="30">
        <f>COUNTIFS($G$3:$G$152,"=3",$C$3:$C$152,"Marketing",$H$3:$H$152,"Female")</f>
        <v>0</v>
      </c>
      <c r="N55" s="22">
        <f>COUNTIFS($G$3:$G$152,"=3",$C$3:$C$152,"Marketing",$H$3:$H$152,"Other")</f>
        <v>2</v>
      </c>
      <c r="O55" s="30">
        <f>COUNTIFS($G$3:$G$152,"=3",$C$3:$C$152,"Marketing",$H$3:$H$152,"Unknown")</f>
        <v>1</v>
      </c>
      <c r="P55" s="23">
        <f>COUNTIFS($G$3:$G$152,"=3",$C$3:$C$152,"Marketing",$H$3:$H$152,"Un-known")</f>
        <v>1</v>
      </c>
    </row>
    <row r="56" spans="1:17">
      <c r="A56" s="1" t="s">
        <v>134</v>
      </c>
      <c r="B56" s="2" t="s">
        <v>17</v>
      </c>
      <c r="C56" s="2" t="s">
        <v>12</v>
      </c>
      <c r="D56" s="2" t="s">
        <v>49</v>
      </c>
      <c r="E56" s="3">
        <v>33352</v>
      </c>
      <c r="F56" s="4">
        <v>42379</v>
      </c>
      <c r="G56" s="5">
        <v>3</v>
      </c>
      <c r="H56" s="2" t="s">
        <v>37</v>
      </c>
      <c r="I56" s="6" t="s">
        <v>73</v>
      </c>
      <c r="K56" s="32">
        <v>2</v>
      </c>
      <c r="L56" s="22">
        <f>COUNTIFS($G$3:$G$152,"=2",$C$3:$C$152,"Marketing",$H$3:$H$152,"Male")</f>
        <v>0</v>
      </c>
      <c r="M56" s="30">
        <f>COUNTIFS($G$3:$G$152,"=2",$C$3:$C$152,"Marketing",$H$3:$H$152,"Female")</f>
        <v>1</v>
      </c>
      <c r="N56" s="22">
        <f>COUNTIFS($G$3:$G$152,"=2",$C$3:$C$152,"Marketing",$H$3:$H$152,"Other")</f>
        <v>2</v>
      </c>
      <c r="O56" s="30">
        <f>COUNTIFS($G$3:$G$152,"=2",$C$3:$C$152,"Marketing",$H$3:$H$152,"Unknown")</f>
        <v>0</v>
      </c>
      <c r="P56" s="23">
        <f>COUNTIFS($G$3:$G$152,"=2",$C$3:$C$152,"Marketing",$H$3:$H$152,"Un-known")</f>
        <v>1</v>
      </c>
    </row>
    <row r="57" spans="1:17">
      <c r="A57" s="1" t="s">
        <v>135</v>
      </c>
      <c r="B57" s="2" t="s">
        <v>56</v>
      </c>
      <c r="C57" s="2" t="s">
        <v>44</v>
      </c>
      <c r="D57" s="2" t="s">
        <v>49</v>
      </c>
      <c r="E57" s="3">
        <v>75633</v>
      </c>
      <c r="F57" s="4">
        <v>42386</v>
      </c>
      <c r="G57" s="5">
        <v>5</v>
      </c>
      <c r="H57" s="2" t="s">
        <v>20</v>
      </c>
      <c r="I57" s="6" t="s">
        <v>136</v>
      </c>
      <c r="K57" s="32">
        <v>1</v>
      </c>
      <c r="L57" s="22">
        <f>COUNTIFS($G$3:$G$152,"=1",$C$3:$C$152,"Marketing",$H$3:$H$152,"Male")</f>
        <v>0</v>
      </c>
      <c r="M57" s="30">
        <f>COUNTIFS($G$3:$G$152,"=1",$C$3:$C$152,"Marketing",$H$3:$H$152,"Female")</f>
        <v>0</v>
      </c>
      <c r="N57" s="22">
        <f>COUNTIFS($G$3:$G$152,"=1",$C$3:$C$152,"Marketing",$H$3:$H$152,"Other")</f>
        <v>1</v>
      </c>
      <c r="O57" s="30">
        <f>COUNTIFS($G$3:$G$152,"=1",$C$3:$C$152,"Marketing",$H$3:$H$152,"Unknown")</f>
        <v>1</v>
      </c>
      <c r="P57" s="23">
        <f>COUNTIFS($G$3:$G$152,"=1",$C$3:$C$152,"Marketing",$H$3:$H$152,"Un-known")</f>
        <v>2</v>
      </c>
    </row>
    <row r="58" spans="1:17">
      <c r="A58" s="1" t="s">
        <v>137</v>
      </c>
      <c r="B58" s="2" t="s">
        <v>43</v>
      </c>
      <c r="C58" s="2" t="s">
        <v>11</v>
      </c>
      <c r="D58" s="2" t="s">
        <v>28</v>
      </c>
      <c r="E58" s="3">
        <v>74815</v>
      </c>
      <c r="F58" s="4">
        <v>42393</v>
      </c>
      <c r="G58" s="5">
        <v>5</v>
      </c>
      <c r="H58" s="2" t="s">
        <v>37</v>
      </c>
      <c r="I58" s="6" t="s">
        <v>138</v>
      </c>
      <c r="K58" s="32">
        <v>0</v>
      </c>
      <c r="L58" s="22">
        <f>COUNTIFS($G$3:$G$152,"=0",$C$3:$C$152,"Marketing",$H$3:$H$152,"Male")</f>
        <v>0</v>
      </c>
      <c r="M58" s="30">
        <f>COUNTIFS($G$3:$G$152,"=0",$C$3:$C$152,"Marketing",$H$3:$H$152,"Female")</f>
        <v>0</v>
      </c>
      <c r="N58" s="22">
        <f>COUNTIFS($G$3:$G$152,"=0",$C$3:$C$152,"Marketing",$H$3:$H$152,"Other")</f>
        <v>0</v>
      </c>
      <c r="O58" s="30">
        <f>COUNTIFS($G$3:$G$152,"=0",$C$3:$C$152,"Marketing",$H$3:$H$152,"Unknown")</f>
        <v>0</v>
      </c>
      <c r="P58" s="23">
        <f>COUNTIFS($G$3:$G$152,"=0",$C$3:$C$152,"Marketing",$H$3:$H$152,"Un-known")</f>
        <v>0</v>
      </c>
    </row>
    <row r="59" spans="1:17">
      <c r="A59" s="1" t="s">
        <v>139</v>
      </c>
      <c r="B59" s="2" t="s">
        <v>26</v>
      </c>
      <c r="C59" s="2" t="s">
        <v>27</v>
      </c>
      <c r="D59" s="2" t="s">
        <v>66</v>
      </c>
      <c r="E59" s="3">
        <v>60011</v>
      </c>
      <c r="F59" s="4">
        <v>42400</v>
      </c>
      <c r="G59" s="5">
        <v>1</v>
      </c>
      <c r="H59" s="2" t="s">
        <v>29</v>
      </c>
      <c r="I59" s="6" t="s">
        <v>140</v>
      </c>
      <c r="K59" s="33" t="s">
        <v>41</v>
      </c>
      <c r="L59" s="22">
        <f>COUNTIFS($G$3:$G$152,"N/A",$C$3:$C$152,"Marketing",$H$3:$H$152,"Male")</f>
        <v>0</v>
      </c>
      <c r="M59" s="30">
        <f>COUNTIFS($G$3:$G$152,"N/A",$C$3:$C$152,"Marketing",$H$3:$H$152,"Female")</f>
        <v>1</v>
      </c>
      <c r="N59" s="22">
        <f>COUNTIFS($G$3:$G$152,"N/A",$C$3:$C$152,"Marketing",$H$3:$H$152,"Other")</f>
        <v>1</v>
      </c>
      <c r="O59" s="30">
        <f>COUNTIFS($G$3:$G$152,"N/A",$C$3:$C$152,"Marketing",$H$3:$H$152,"Unknown")</f>
        <v>0</v>
      </c>
      <c r="P59" s="23">
        <f>COUNTIFS($G$3:$G$152,"N/A",$C$3:$C$152,"Marketing",$H$3:$H$152,"Un-known")</f>
        <v>1</v>
      </c>
    </row>
    <row r="60" spans="1:17">
      <c r="A60" s="1" t="s">
        <v>141</v>
      </c>
      <c r="B60" s="2" t="s">
        <v>17</v>
      </c>
      <c r="C60" s="2" t="s">
        <v>11</v>
      </c>
      <c r="D60" s="2" t="s">
        <v>36</v>
      </c>
      <c r="E60" s="3">
        <v>96949</v>
      </c>
      <c r="F60" s="4">
        <v>42407</v>
      </c>
      <c r="G60" s="5">
        <v>3</v>
      </c>
      <c r="H60" s="2" t="s">
        <v>11</v>
      </c>
      <c r="I60" s="6" t="s">
        <v>87</v>
      </c>
      <c r="K60" s="36" t="s">
        <v>296</v>
      </c>
      <c r="L60" s="38">
        <f>SUM(L53:L59)</f>
        <v>3</v>
      </c>
      <c r="M60" s="38">
        <f>SUM(M53:M59)</f>
        <v>5</v>
      </c>
      <c r="N60" s="38">
        <f>SUM(N53:N59)</f>
        <v>10</v>
      </c>
      <c r="O60" s="38">
        <f>SUM(O53:O59)</f>
        <v>3</v>
      </c>
      <c r="P60" s="38">
        <f>SUM(P53:P59)</f>
        <v>8</v>
      </c>
      <c r="Q60" s="38">
        <f>COUNTIFS($C$3:$C$152,"Marketing")</f>
        <v>29</v>
      </c>
    </row>
    <row r="61" spans="1:17">
      <c r="A61" s="1" t="s">
        <v>142</v>
      </c>
      <c r="B61" s="2" t="s">
        <v>40</v>
      </c>
      <c r="C61" s="2" t="s">
        <v>44</v>
      </c>
      <c r="D61" s="2" t="s">
        <v>11</v>
      </c>
      <c r="E61" s="3">
        <v>84924</v>
      </c>
      <c r="F61" s="4">
        <v>42414</v>
      </c>
      <c r="G61" s="5">
        <v>5</v>
      </c>
      <c r="H61" s="2" t="s">
        <v>29</v>
      </c>
      <c r="I61" s="6" t="s">
        <v>143</v>
      </c>
      <c r="K61" s="37"/>
      <c r="L61" s="39"/>
      <c r="M61" s="39"/>
      <c r="N61" s="39"/>
      <c r="O61" s="39"/>
      <c r="P61" s="39"/>
      <c r="Q61" s="39"/>
    </row>
    <row r="62" spans="1:17">
      <c r="A62" s="1" t="s">
        <v>144</v>
      </c>
      <c r="B62" s="2" t="s">
        <v>40</v>
      </c>
      <c r="C62" s="2" t="s">
        <v>12</v>
      </c>
      <c r="D62" s="2" t="s">
        <v>28</v>
      </c>
      <c r="E62" s="3">
        <v>82033</v>
      </c>
      <c r="F62" s="4">
        <v>42421</v>
      </c>
      <c r="G62" s="5">
        <v>1</v>
      </c>
      <c r="H62" s="2" t="s">
        <v>11</v>
      </c>
      <c r="I62" s="6" t="s">
        <v>120</v>
      </c>
    </row>
    <row r="63" spans="1:17">
      <c r="A63" s="1" t="s">
        <v>145</v>
      </c>
      <c r="B63" s="2" t="s">
        <v>11</v>
      </c>
      <c r="C63" s="2" t="s">
        <v>44</v>
      </c>
      <c r="D63" s="2" t="s">
        <v>19</v>
      </c>
      <c r="E63" s="3" t="s">
        <v>13</v>
      </c>
      <c r="F63" s="4" t="s">
        <v>11</v>
      </c>
      <c r="G63" s="5">
        <v>5</v>
      </c>
      <c r="H63" s="2" t="s">
        <v>14</v>
      </c>
      <c r="I63" s="6" t="s">
        <v>146</v>
      </c>
    </row>
    <row r="64" spans="1:17">
      <c r="A64" s="1" t="s">
        <v>147</v>
      </c>
      <c r="B64" s="2" t="s">
        <v>17</v>
      </c>
      <c r="C64" s="2" t="s">
        <v>11</v>
      </c>
      <c r="D64" s="2" t="s">
        <v>66</v>
      </c>
      <c r="E64" s="3">
        <v>31499</v>
      </c>
      <c r="F64" s="4">
        <v>42435</v>
      </c>
      <c r="G64" s="5">
        <v>2</v>
      </c>
      <c r="H64" s="2" t="s">
        <v>11</v>
      </c>
      <c r="I64" s="6" t="s">
        <v>104</v>
      </c>
    </row>
    <row r="65" spans="1:9">
      <c r="A65" s="1" t="s">
        <v>148</v>
      </c>
      <c r="B65" s="2" t="s">
        <v>43</v>
      </c>
      <c r="C65" s="2" t="s">
        <v>35</v>
      </c>
      <c r="D65" s="2" t="s">
        <v>49</v>
      </c>
      <c r="E65" s="3">
        <v>97981</v>
      </c>
      <c r="F65" s="4">
        <v>42442</v>
      </c>
      <c r="G65" s="5">
        <v>5</v>
      </c>
      <c r="H65" s="2" t="s">
        <v>37</v>
      </c>
      <c r="I65" s="6" t="s">
        <v>149</v>
      </c>
    </row>
    <row r="66" spans="1:9">
      <c r="A66" s="1" t="s">
        <v>150</v>
      </c>
      <c r="B66" s="2" t="s">
        <v>17</v>
      </c>
      <c r="C66" s="2" t="s">
        <v>18</v>
      </c>
      <c r="D66" s="2" t="s">
        <v>28</v>
      </c>
      <c r="E66" s="3">
        <v>36541</v>
      </c>
      <c r="F66" s="4">
        <v>42449</v>
      </c>
      <c r="G66" s="5">
        <v>2</v>
      </c>
      <c r="H66" s="2" t="s">
        <v>20</v>
      </c>
      <c r="I66" s="6" t="s">
        <v>151</v>
      </c>
    </row>
    <row r="67" spans="1:9">
      <c r="A67" s="1" t="s">
        <v>152</v>
      </c>
      <c r="B67" s="2" t="s">
        <v>26</v>
      </c>
      <c r="C67" s="2" t="s">
        <v>35</v>
      </c>
      <c r="D67" s="2" t="s">
        <v>36</v>
      </c>
      <c r="E67" s="3">
        <v>84737</v>
      </c>
      <c r="F67" s="4">
        <v>42456</v>
      </c>
      <c r="G67" s="5">
        <v>1</v>
      </c>
      <c r="H67" s="2" t="s">
        <v>29</v>
      </c>
      <c r="I67" s="6" t="s">
        <v>153</v>
      </c>
    </row>
    <row r="68" spans="1:9">
      <c r="A68" s="1" t="s">
        <v>154</v>
      </c>
      <c r="B68" s="2" t="s">
        <v>40</v>
      </c>
      <c r="C68" s="2" t="s">
        <v>12</v>
      </c>
      <c r="D68" s="2" t="s">
        <v>36</v>
      </c>
      <c r="E68" s="3">
        <v>33468</v>
      </c>
      <c r="F68" s="4">
        <v>42463</v>
      </c>
      <c r="G68" s="5">
        <v>4</v>
      </c>
      <c r="H68" s="2" t="s">
        <v>29</v>
      </c>
      <c r="I68" s="6" t="s">
        <v>155</v>
      </c>
    </row>
    <row r="69" spans="1:9">
      <c r="A69" s="1" t="s">
        <v>156</v>
      </c>
      <c r="B69" s="2" t="s">
        <v>40</v>
      </c>
      <c r="C69" s="2" t="s">
        <v>11</v>
      </c>
      <c r="D69" s="2" t="s">
        <v>66</v>
      </c>
      <c r="E69" s="3">
        <v>96365</v>
      </c>
      <c r="F69" s="4">
        <v>42470</v>
      </c>
      <c r="G69" s="5">
        <v>3</v>
      </c>
      <c r="H69" s="2" t="s">
        <v>20</v>
      </c>
      <c r="I69" s="6" t="s">
        <v>157</v>
      </c>
    </row>
    <row r="70" spans="1:9">
      <c r="A70" s="1" t="s">
        <v>158</v>
      </c>
      <c r="B70" s="2" t="s">
        <v>23</v>
      </c>
      <c r="C70" s="2" t="s">
        <v>27</v>
      </c>
      <c r="D70" s="2" t="s">
        <v>36</v>
      </c>
      <c r="E70" s="3">
        <v>61942</v>
      </c>
      <c r="F70" s="4">
        <v>42477</v>
      </c>
      <c r="G70" s="5">
        <v>3</v>
      </c>
      <c r="H70" s="2" t="s">
        <v>37</v>
      </c>
      <c r="I70" s="6" t="s">
        <v>159</v>
      </c>
    </row>
    <row r="71" spans="1:9">
      <c r="A71" s="1" t="s">
        <v>160</v>
      </c>
      <c r="B71" s="2" t="s">
        <v>40</v>
      </c>
      <c r="C71" s="2" t="s">
        <v>12</v>
      </c>
      <c r="D71" s="2" t="s">
        <v>49</v>
      </c>
      <c r="E71" s="3">
        <v>41467</v>
      </c>
      <c r="F71" s="4">
        <v>42484</v>
      </c>
      <c r="G71" s="5">
        <v>2</v>
      </c>
      <c r="H71" s="2" t="s">
        <v>11</v>
      </c>
      <c r="I71" s="6" t="s">
        <v>75</v>
      </c>
    </row>
    <row r="72" spans="1:9">
      <c r="A72" s="1" t="s">
        <v>161</v>
      </c>
      <c r="B72" s="2" t="s">
        <v>56</v>
      </c>
      <c r="C72" s="2" t="s">
        <v>12</v>
      </c>
      <c r="D72" s="2" t="s">
        <v>36</v>
      </c>
      <c r="E72" s="3">
        <v>77096</v>
      </c>
      <c r="F72" s="4">
        <v>42491</v>
      </c>
      <c r="G72" s="5">
        <v>1</v>
      </c>
      <c r="H72" s="2" t="s">
        <v>11</v>
      </c>
      <c r="I72" s="6" t="s">
        <v>162</v>
      </c>
    </row>
    <row r="73" spans="1:9">
      <c r="A73" s="1" t="s">
        <v>163</v>
      </c>
      <c r="B73" s="2" t="s">
        <v>17</v>
      </c>
      <c r="C73" s="2" t="s">
        <v>27</v>
      </c>
      <c r="D73" s="2" t="s">
        <v>66</v>
      </c>
      <c r="E73" s="3">
        <v>69952</v>
      </c>
      <c r="F73" s="4">
        <v>42498</v>
      </c>
      <c r="G73" s="5">
        <v>5</v>
      </c>
      <c r="H73" s="2" t="s">
        <v>37</v>
      </c>
      <c r="I73" s="6" t="s">
        <v>15</v>
      </c>
    </row>
    <row r="74" spans="1:9">
      <c r="A74" s="1" t="s">
        <v>164</v>
      </c>
      <c r="B74" s="2" t="s">
        <v>17</v>
      </c>
      <c r="C74" s="2" t="s">
        <v>44</v>
      </c>
      <c r="D74" s="2" t="s">
        <v>28</v>
      </c>
      <c r="E74" s="3">
        <v>85065</v>
      </c>
      <c r="F74" s="4">
        <v>42505</v>
      </c>
      <c r="G74" s="5">
        <v>3</v>
      </c>
      <c r="H74" s="2" t="s">
        <v>11</v>
      </c>
      <c r="I74" s="6" t="s">
        <v>165</v>
      </c>
    </row>
    <row r="75" spans="1:9">
      <c r="A75" s="1" t="s">
        <v>166</v>
      </c>
      <c r="B75" s="2" t="s">
        <v>56</v>
      </c>
      <c r="C75" s="2" t="s">
        <v>44</v>
      </c>
      <c r="D75" s="2" t="s">
        <v>36</v>
      </c>
      <c r="E75" s="3">
        <v>56512</v>
      </c>
      <c r="F75" s="4">
        <v>42512</v>
      </c>
      <c r="G75" s="5" t="s">
        <v>41</v>
      </c>
      <c r="H75" s="2" t="s">
        <v>20</v>
      </c>
      <c r="I75" s="6" t="s">
        <v>50</v>
      </c>
    </row>
    <row r="76" spans="1:9">
      <c r="A76" s="1" t="s">
        <v>167</v>
      </c>
      <c r="B76" s="2" t="s">
        <v>26</v>
      </c>
      <c r="C76" s="2" t="s">
        <v>27</v>
      </c>
      <c r="D76" s="2" t="s">
        <v>36</v>
      </c>
      <c r="E76" s="3">
        <v>91101</v>
      </c>
      <c r="F76" s="4">
        <v>42519</v>
      </c>
      <c r="G76" s="5">
        <v>4</v>
      </c>
      <c r="H76" s="2" t="s">
        <v>37</v>
      </c>
      <c r="I76" s="6" t="s">
        <v>149</v>
      </c>
    </row>
    <row r="77" spans="1:9">
      <c r="A77" s="1" t="s">
        <v>168</v>
      </c>
      <c r="B77" s="2" t="s">
        <v>40</v>
      </c>
      <c r="C77" s="2" t="s">
        <v>11</v>
      </c>
      <c r="D77" s="2" t="s">
        <v>19</v>
      </c>
      <c r="E77" s="3">
        <v>41243</v>
      </c>
      <c r="F77" s="4">
        <v>42526</v>
      </c>
      <c r="G77" s="5" t="s">
        <v>41</v>
      </c>
      <c r="H77" s="2" t="s">
        <v>11</v>
      </c>
      <c r="I77" s="6" t="s">
        <v>95</v>
      </c>
    </row>
    <row r="78" spans="1:9">
      <c r="A78" s="1" t="s">
        <v>169</v>
      </c>
      <c r="B78" s="2" t="s">
        <v>11</v>
      </c>
      <c r="C78" s="2" t="s">
        <v>27</v>
      </c>
      <c r="D78" s="2" t="s">
        <v>11</v>
      </c>
      <c r="E78" s="3">
        <v>96142</v>
      </c>
      <c r="F78" s="4">
        <v>42533</v>
      </c>
      <c r="G78" s="5">
        <v>1</v>
      </c>
      <c r="H78" s="2" t="s">
        <v>20</v>
      </c>
      <c r="I78" s="6" t="s">
        <v>170</v>
      </c>
    </row>
    <row r="79" spans="1:9">
      <c r="A79" s="1" t="s">
        <v>171</v>
      </c>
      <c r="B79" s="2" t="s">
        <v>17</v>
      </c>
      <c r="C79" s="2" t="s">
        <v>35</v>
      </c>
      <c r="D79" s="2" t="s">
        <v>36</v>
      </c>
      <c r="E79" s="3">
        <v>94301</v>
      </c>
      <c r="F79" s="4">
        <v>42540</v>
      </c>
      <c r="G79" s="5">
        <v>1</v>
      </c>
      <c r="H79" s="2" t="s">
        <v>29</v>
      </c>
      <c r="I79" s="6" t="s">
        <v>120</v>
      </c>
    </row>
    <row r="80" spans="1:9">
      <c r="A80" s="1" t="s">
        <v>172</v>
      </c>
      <c r="B80" s="2" t="s">
        <v>32</v>
      </c>
      <c r="C80" s="2" t="s">
        <v>11</v>
      </c>
      <c r="D80" s="2" t="s">
        <v>49</v>
      </c>
      <c r="E80" s="3">
        <v>69166</v>
      </c>
      <c r="F80" s="4">
        <v>42547</v>
      </c>
      <c r="G80" s="5">
        <v>1</v>
      </c>
      <c r="H80" s="2" t="s">
        <v>37</v>
      </c>
      <c r="I80" s="6" t="s">
        <v>173</v>
      </c>
    </row>
    <row r="81" spans="1:9">
      <c r="A81" s="1" t="s">
        <v>174</v>
      </c>
      <c r="B81" s="2" t="s">
        <v>40</v>
      </c>
      <c r="C81" s="2" t="s">
        <v>11</v>
      </c>
      <c r="D81" s="2" t="s">
        <v>49</v>
      </c>
      <c r="E81" s="3">
        <v>78245</v>
      </c>
      <c r="F81" s="4">
        <v>42554</v>
      </c>
      <c r="G81" s="5">
        <v>2</v>
      </c>
      <c r="H81" s="2" t="s">
        <v>11</v>
      </c>
      <c r="I81" s="6" t="s">
        <v>175</v>
      </c>
    </row>
    <row r="82" spans="1:9">
      <c r="A82" s="1" t="s">
        <v>176</v>
      </c>
      <c r="B82" s="2" t="s">
        <v>43</v>
      </c>
      <c r="C82" s="2" t="s">
        <v>27</v>
      </c>
      <c r="D82" s="2" t="s">
        <v>28</v>
      </c>
      <c r="E82" s="3">
        <v>66079</v>
      </c>
      <c r="F82" s="4">
        <v>42561</v>
      </c>
      <c r="G82" s="5">
        <v>2</v>
      </c>
      <c r="H82" s="2" t="s">
        <v>20</v>
      </c>
      <c r="I82" s="6" t="s">
        <v>177</v>
      </c>
    </row>
    <row r="83" spans="1:9">
      <c r="A83" s="1" t="s">
        <v>178</v>
      </c>
      <c r="B83" s="2" t="s">
        <v>17</v>
      </c>
      <c r="C83" s="2" t="s">
        <v>44</v>
      </c>
      <c r="D83" s="2" t="s">
        <v>36</v>
      </c>
      <c r="E83" s="3" t="s">
        <v>13</v>
      </c>
      <c r="F83" s="4" t="s">
        <v>11</v>
      </c>
      <c r="G83" s="5" t="s">
        <v>41</v>
      </c>
      <c r="H83" s="2" t="s">
        <v>11</v>
      </c>
      <c r="I83" s="6" t="s">
        <v>89</v>
      </c>
    </row>
    <row r="84" spans="1:9">
      <c r="A84" s="1" t="s">
        <v>179</v>
      </c>
      <c r="B84" s="2" t="s">
        <v>32</v>
      </c>
      <c r="C84" s="2" t="s">
        <v>27</v>
      </c>
      <c r="D84" s="2" t="s">
        <v>28</v>
      </c>
      <c r="E84" s="3">
        <v>95621</v>
      </c>
      <c r="F84" s="4">
        <v>42575</v>
      </c>
      <c r="G84" s="5">
        <v>3</v>
      </c>
      <c r="H84" s="2" t="s">
        <v>37</v>
      </c>
      <c r="I84" s="6" t="s">
        <v>180</v>
      </c>
    </row>
    <row r="85" spans="1:9">
      <c r="A85" s="1" t="s">
        <v>181</v>
      </c>
      <c r="B85" s="2" t="s">
        <v>17</v>
      </c>
      <c r="C85" s="2" t="s">
        <v>35</v>
      </c>
      <c r="D85" s="2" t="s">
        <v>49</v>
      </c>
      <c r="E85" s="3">
        <v>42262</v>
      </c>
      <c r="F85" s="4">
        <v>42582</v>
      </c>
      <c r="G85" s="5">
        <v>1</v>
      </c>
      <c r="H85" s="2" t="s">
        <v>11</v>
      </c>
      <c r="I85" s="6" t="s">
        <v>182</v>
      </c>
    </row>
    <row r="86" spans="1:9">
      <c r="A86" s="1" t="s">
        <v>183</v>
      </c>
      <c r="B86" s="2" t="s">
        <v>40</v>
      </c>
      <c r="C86" s="2" t="s">
        <v>27</v>
      </c>
      <c r="D86" s="2" t="s">
        <v>36</v>
      </c>
      <c r="E86" s="3">
        <v>99621</v>
      </c>
      <c r="F86" s="4">
        <v>42589</v>
      </c>
      <c r="G86" s="5" t="s">
        <v>41</v>
      </c>
      <c r="H86" s="2" t="s">
        <v>20</v>
      </c>
      <c r="I86" s="6" t="s">
        <v>184</v>
      </c>
    </row>
    <row r="87" spans="1:9">
      <c r="A87" s="1" t="s">
        <v>185</v>
      </c>
      <c r="B87" s="2" t="s">
        <v>26</v>
      </c>
      <c r="C87" s="2" t="s">
        <v>44</v>
      </c>
      <c r="D87" s="2" t="s">
        <v>36</v>
      </c>
      <c r="E87" s="3">
        <v>44682</v>
      </c>
      <c r="F87" s="4">
        <v>42596</v>
      </c>
      <c r="G87" s="5">
        <v>4</v>
      </c>
      <c r="H87" s="2" t="s">
        <v>37</v>
      </c>
      <c r="I87" s="6" t="s">
        <v>114</v>
      </c>
    </row>
    <row r="88" spans="1:9">
      <c r="A88" s="1" t="s">
        <v>186</v>
      </c>
      <c r="B88" s="2" t="s">
        <v>43</v>
      </c>
      <c r="C88" s="2" t="s">
        <v>12</v>
      </c>
      <c r="D88" s="2" t="s">
        <v>11</v>
      </c>
      <c r="E88" s="3">
        <v>35163</v>
      </c>
      <c r="F88" s="4">
        <v>42603</v>
      </c>
      <c r="G88" s="5">
        <v>5</v>
      </c>
      <c r="H88" s="2" t="s">
        <v>20</v>
      </c>
      <c r="I88" s="6" t="s">
        <v>187</v>
      </c>
    </row>
    <row r="89" spans="1:9">
      <c r="A89" s="1" t="s">
        <v>188</v>
      </c>
      <c r="B89" s="2" t="s">
        <v>43</v>
      </c>
      <c r="C89" s="2" t="s">
        <v>35</v>
      </c>
      <c r="D89" s="2" t="s">
        <v>36</v>
      </c>
      <c r="E89" s="3">
        <v>33483</v>
      </c>
      <c r="F89" s="4">
        <v>42610</v>
      </c>
      <c r="G89" s="5">
        <v>4</v>
      </c>
      <c r="H89" s="2" t="s">
        <v>29</v>
      </c>
      <c r="I89" s="6" t="s">
        <v>189</v>
      </c>
    </row>
    <row r="90" spans="1:9">
      <c r="A90" s="1" t="s">
        <v>190</v>
      </c>
      <c r="B90" s="2" t="s">
        <v>40</v>
      </c>
      <c r="C90" s="2" t="s">
        <v>18</v>
      </c>
      <c r="D90" s="2" t="s">
        <v>19</v>
      </c>
      <c r="E90" s="3">
        <v>55303</v>
      </c>
      <c r="F90" s="4">
        <v>42617</v>
      </c>
      <c r="G90" s="5">
        <v>4</v>
      </c>
      <c r="H90" s="2" t="s">
        <v>29</v>
      </c>
      <c r="I90" s="6" t="s">
        <v>79</v>
      </c>
    </row>
    <row r="91" spans="1:9">
      <c r="A91" s="1" t="s">
        <v>191</v>
      </c>
      <c r="B91" s="2" t="s">
        <v>43</v>
      </c>
      <c r="C91" s="2" t="s">
        <v>35</v>
      </c>
      <c r="D91" s="2" t="s">
        <v>11</v>
      </c>
      <c r="E91" s="3">
        <v>63434</v>
      </c>
      <c r="F91" s="4">
        <v>42624</v>
      </c>
      <c r="G91" s="5">
        <v>3</v>
      </c>
      <c r="H91" s="2" t="s">
        <v>11</v>
      </c>
      <c r="I91" s="6" t="s">
        <v>192</v>
      </c>
    </row>
    <row r="92" spans="1:9">
      <c r="A92" s="1" t="s">
        <v>193</v>
      </c>
      <c r="B92" s="2" t="s">
        <v>32</v>
      </c>
      <c r="C92" s="2" t="s">
        <v>11</v>
      </c>
      <c r="D92" s="2" t="s">
        <v>66</v>
      </c>
      <c r="E92" s="3">
        <v>38830</v>
      </c>
      <c r="F92" s="4">
        <v>42631</v>
      </c>
      <c r="G92" s="5">
        <v>3</v>
      </c>
      <c r="H92" s="2" t="s">
        <v>20</v>
      </c>
      <c r="I92" s="6" t="s">
        <v>79</v>
      </c>
    </row>
    <row r="93" spans="1:9">
      <c r="A93" s="1" t="s">
        <v>194</v>
      </c>
      <c r="B93" s="2" t="s">
        <v>11</v>
      </c>
      <c r="C93" s="2" t="s">
        <v>44</v>
      </c>
      <c r="D93" s="2" t="s">
        <v>49</v>
      </c>
      <c r="E93" s="3">
        <v>50741</v>
      </c>
      <c r="F93" s="4">
        <v>42638</v>
      </c>
      <c r="G93" s="5">
        <v>3</v>
      </c>
      <c r="H93" s="2" t="s">
        <v>14</v>
      </c>
      <c r="I93" s="6" t="s">
        <v>162</v>
      </c>
    </row>
    <row r="94" spans="1:9">
      <c r="A94" s="1" t="s">
        <v>195</v>
      </c>
      <c r="B94" s="2" t="s">
        <v>23</v>
      </c>
      <c r="C94" s="2" t="s">
        <v>18</v>
      </c>
      <c r="D94" s="2" t="s">
        <v>66</v>
      </c>
      <c r="E94" s="3">
        <v>69420</v>
      </c>
      <c r="F94" s="4">
        <v>42645</v>
      </c>
      <c r="G94" s="5">
        <v>1</v>
      </c>
      <c r="H94" s="2" t="s">
        <v>29</v>
      </c>
      <c r="I94" s="6" t="s">
        <v>125</v>
      </c>
    </row>
    <row r="95" spans="1:9">
      <c r="A95" s="1" t="s">
        <v>196</v>
      </c>
      <c r="B95" s="2" t="s">
        <v>32</v>
      </c>
      <c r="C95" s="2" t="s">
        <v>35</v>
      </c>
      <c r="D95" s="2" t="s">
        <v>11</v>
      </c>
      <c r="E95" s="3">
        <v>80588</v>
      </c>
      <c r="F95" s="4">
        <v>42652</v>
      </c>
      <c r="G95" s="5">
        <v>5</v>
      </c>
      <c r="H95" s="2" t="s">
        <v>29</v>
      </c>
      <c r="I95" s="6" t="s">
        <v>106</v>
      </c>
    </row>
    <row r="96" spans="1:9">
      <c r="A96" s="1" t="s">
        <v>197</v>
      </c>
      <c r="B96" s="2" t="s">
        <v>23</v>
      </c>
      <c r="C96" s="2" t="s">
        <v>11</v>
      </c>
      <c r="D96" s="2" t="s">
        <v>28</v>
      </c>
      <c r="E96" s="3">
        <v>76238</v>
      </c>
      <c r="F96" s="4">
        <v>42659</v>
      </c>
      <c r="G96" s="5">
        <v>4</v>
      </c>
      <c r="H96" s="2" t="s">
        <v>29</v>
      </c>
      <c r="I96" s="6" t="s">
        <v>198</v>
      </c>
    </row>
    <row r="97" spans="1:9">
      <c r="A97" s="1" t="s">
        <v>199</v>
      </c>
      <c r="B97" s="2" t="s">
        <v>56</v>
      </c>
      <c r="C97" s="2" t="s">
        <v>35</v>
      </c>
      <c r="D97" s="2" t="s">
        <v>36</v>
      </c>
      <c r="E97" s="3">
        <v>33264</v>
      </c>
      <c r="F97" s="4">
        <v>42666</v>
      </c>
      <c r="G97" s="5" t="s">
        <v>41</v>
      </c>
      <c r="H97" s="2" t="s">
        <v>37</v>
      </c>
      <c r="I97" s="6" t="s">
        <v>200</v>
      </c>
    </row>
    <row r="98" spans="1:9">
      <c r="A98" s="1" t="s">
        <v>201</v>
      </c>
      <c r="B98" s="2" t="s">
        <v>23</v>
      </c>
      <c r="C98" s="2" t="s">
        <v>12</v>
      </c>
      <c r="D98" s="2" t="s">
        <v>66</v>
      </c>
      <c r="E98" s="3">
        <v>96101</v>
      </c>
      <c r="F98" s="4">
        <v>42673</v>
      </c>
      <c r="G98" s="5" t="s">
        <v>41</v>
      </c>
      <c r="H98" s="2" t="s">
        <v>20</v>
      </c>
      <c r="I98" s="6" t="s">
        <v>202</v>
      </c>
    </row>
    <row r="99" spans="1:9">
      <c r="A99" s="1" t="s">
        <v>203</v>
      </c>
      <c r="B99" s="2" t="s">
        <v>32</v>
      </c>
      <c r="C99" s="2" t="s">
        <v>12</v>
      </c>
      <c r="D99" s="2" t="s">
        <v>28</v>
      </c>
      <c r="E99" s="3">
        <v>72939</v>
      </c>
      <c r="F99" s="4">
        <v>42680</v>
      </c>
      <c r="G99" s="5">
        <v>3</v>
      </c>
      <c r="H99" s="2" t="s">
        <v>11</v>
      </c>
      <c r="I99" s="6" t="s">
        <v>204</v>
      </c>
    </row>
    <row r="100" spans="1:9">
      <c r="A100" s="1" t="s">
        <v>205</v>
      </c>
      <c r="B100" s="2" t="s">
        <v>40</v>
      </c>
      <c r="C100" s="2" t="s">
        <v>18</v>
      </c>
      <c r="D100" s="2" t="s">
        <v>19</v>
      </c>
      <c r="E100" s="3">
        <v>89333</v>
      </c>
      <c r="F100" s="4">
        <v>42687</v>
      </c>
      <c r="G100" s="5">
        <v>1</v>
      </c>
      <c r="H100" s="2" t="s">
        <v>29</v>
      </c>
      <c r="I100" s="6" t="s">
        <v>206</v>
      </c>
    </row>
    <row r="101" spans="1:9">
      <c r="A101" s="1" t="s">
        <v>207</v>
      </c>
      <c r="B101" s="2" t="s">
        <v>56</v>
      </c>
      <c r="C101" s="2" t="s">
        <v>35</v>
      </c>
      <c r="D101" s="2" t="s">
        <v>66</v>
      </c>
      <c r="E101" s="3">
        <v>70470</v>
      </c>
      <c r="F101" s="4">
        <v>42694</v>
      </c>
      <c r="G101" s="5" t="s">
        <v>41</v>
      </c>
      <c r="H101" s="2" t="s">
        <v>29</v>
      </c>
      <c r="I101" s="6" t="s">
        <v>208</v>
      </c>
    </row>
    <row r="102" spans="1:9">
      <c r="A102" s="1" t="s">
        <v>209</v>
      </c>
      <c r="B102" s="2" t="s">
        <v>17</v>
      </c>
      <c r="C102" s="2" t="s">
        <v>44</v>
      </c>
      <c r="D102" s="2" t="s">
        <v>28</v>
      </c>
      <c r="E102" s="3">
        <v>70096</v>
      </c>
      <c r="F102" s="4">
        <v>42701</v>
      </c>
      <c r="G102" s="5">
        <v>4</v>
      </c>
      <c r="H102" s="2" t="s">
        <v>29</v>
      </c>
      <c r="I102" s="6" t="s">
        <v>210</v>
      </c>
    </row>
    <row r="103" spans="1:9">
      <c r="A103" s="1" t="s">
        <v>211</v>
      </c>
      <c r="B103" s="2" t="s">
        <v>56</v>
      </c>
      <c r="C103" s="2" t="s">
        <v>44</v>
      </c>
      <c r="D103" s="2" t="s">
        <v>11</v>
      </c>
      <c r="E103" s="3" t="s">
        <v>13</v>
      </c>
      <c r="F103" s="4">
        <v>42708</v>
      </c>
      <c r="G103" s="5">
        <v>2</v>
      </c>
      <c r="H103" s="2" t="s">
        <v>20</v>
      </c>
      <c r="I103" s="6" t="s">
        <v>212</v>
      </c>
    </row>
    <row r="104" spans="1:9">
      <c r="A104" s="1" t="s">
        <v>213</v>
      </c>
      <c r="B104" s="2" t="s">
        <v>56</v>
      </c>
      <c r="C104" s="2" t="s">
        <v>35</v>
      </c>
      <c r="D104" s="2" t="s">
        <v>19</v>
      </c>
      <c r="E104" s="3">
        <v>66503</v>
      </c>
      <c r="F104" s="4">
        <v>42715</v>
      </c>
      <c r="G104" s="5" t="s">
        <v>41</v>
      </c>
      <c r="H104" s="2" t="s">
        <v>29</v>
      </c>
      <c r="I104" s="6" t="s">
        <v>73</v>
      </c>
    </row>
    <row r="105" spans="1:9">
      <c r="A105" s="1" t="s">
        <v>214</v>
      </c>
      <c r="B105" s="2" t="s">
        <v>23</v>
      </c>
      <c r="C105" s="2" t="s">
        <v>18</v>
      </c>
      <c r="D105" s="2" t="s">
        <v>19</v>
      </c>
      <c r="E105" s="3">
        <v>42096</v>
      </c>
      <c r="F105" s="4">
        <v>42722</v>
      </c>
      <c r="G105" s="5" t="s">
        <v>41</v>
      </c>
      <c r="H105" s="2" t="s">
        <v>37</v>
      </c>
      <c r="I105" s="6" t="s">
        <v>215</v>
      </c>
    </row>
    <row r="106" spans="1:9">
      <c r="A106" s="1" t="s">
        <v>216</v>
      </c>
      <c r="B106" s="2" t="s">
        <v>23</v>
      </c>
      <c r="C106" s="2" t="s">
        <v>44</v>
      </c>
      <c r="D106" s="2" t="s">
        <v>11</v>
      </c>
      <c r="E106" s="3">
        <v>79145</v>
      </c>
      <c r="F106" s="4">
        <v>42729</v>
      </c>
      <c r="G106" s="5">
        <v>5</v>
      </c>
      <c r="H106" s="2" t="s">
        <v>20</v>
      </c>
      <c r="I106" s="6" t="s">
        <v>120</v>
      </c>
    </row>
    <row r="107" spans="1:9">
      <c r="A107" s="1" t="s">
        <v>217</v>
      </c>
      <c r="B107" s="2" t="s">
        <v>32</v>
      </c>
      <c r="C107" s="2" t="s">
        <v>11</v>
      </c>
      <c r="D107" s="2" t="s">
        <v>66</v>
      </c>
      <c r="E107" s="3">
        <v>61556</v>
      </c>
      <c r="F107" s="4">
        <v>42736</v>
      </c>
      <c r="G107" s="5">
        <v>1</v>
      </c>
      <c r="H107" s="2" t="s">
        <v>11</v>
      </c>
      <c r="I107" s="6" t="s">
        <v>212</v>
      </c>
    </row>
    <row r="108" spans="1:9">
      <c r="A108" s="1" t="s">
        <v>218</v>
      </c>
      <c r="B108" s="2" t="s">
        <v>11</v>
      </c>
      <c r="C108" s="2" t="s">
        <v>18</v>
      </c>
      <c r="D108" s="2" t="s">
        <v>49</v>
      </c>
      <c r="E108" s="3">
        <v>87963</v>
      </c>
      <c r="F108" s="4">
        <v>42743</v>
      </c>
      <c r="G108" s="5">
        <v>3</v>
      </c>
      <c r="H108" s="2" t="s">
        <v>20</v>
      </c>
      <c r="I108" s="6" t="s">
        <v>15</v>
      </c>
    </row>
    <row r="109" spans="1:9">
      <c r="A109" s="1" t="s">
        <v>219</v>
      </c>
      <c r="B109" s="2" t="s">
        <v>17</v>
      </c>
      <c r="C109" s="2" t="s">
        <v>35</v>
      </c>
      <c r="D109" s="2" t="s">
        <v>11</v>
      </c>
      <c r="E109" s="3">
        <v>48325</v>
      </c>
      <c r="F109" s="4">
        <v>42750</v>
      </c>
      <c r="G109" s="5" t="s">
        <v>41</v>
      </c>
      <c r="H109" s="2" t="s">
        <v>29</v>
      </c>
      <c r="I109" s="6" t="s">
        <v>220</v>
      </c>
    </row>
    <row r="110" spans="1:9">
      <c r="A110" s="1" t="s">
        <v>221</v>
      </c>
      <c r="B110" s="2" t="s">
        <v>40</v>
      </c>
      <c r="C110" s="2" t="s">
        <v>44</v>
      </c>
      <c r="D110" s="2" t="s">
        <v>66</v>
      </c>
      <c r="E110" s="3">
        <v>86412</v>
      </c>
      <c r="F110" s="4">
        <v>42757</v>
      </c>
      <c r="G110" s="5">
        <v>2</v>
      </c>
      <c r="H110" s="2" t="s">
        <v>37</v>
      </c>
      <c r="I110" s="6" t="s">
        <v>77</v>
      </c>
    </row>
    <row r="111" spans="1:9">
      <c r="A111" s="1" t="s">
        <v>222</v>
      </c>
      <c r="B111" s="2" t="s">
        <v>40</v>
      </c>
      <c r="C111" s="2" t="s">
        <v>18</v>
      </c>
      <c r="D111" s="2" t="s">
        <v>11</v>
      </c>
      <c r="E111" s="3">
        <v>66761</v>
      </c>
      <c r="F111" s="4">
        <v>42764</v>
      </c>
      <c r="G111" s="5">
        <v>1</v>
      </c>
      <c r="H111" s="2" t="s">
        <v>11</v>
      </c>
      <c r="I111" s="6" t="s">
        <v>223</v>
      </c>
    </row>
    <row r="112" spans="1:9">
      <c r="A112" s="1" t="s">
        <v>224</v>
      </c>
      <c r="B112" s="2" t="s">
        <v>32</v>
      </c>
      <c r="C112" s="2" t="s">
        <v>11</v>
      </c>
      <c r="D112" s="2" t="s">
        <v>36</v>
      </c>
      <c r="E112" s="3">
        <v>88850</v>
      </c>
      <c r="F112" s="4">
        <v>42771</v>
      </c>
      <c r="G112" s="5">
        <v>1</v>
      </c>
      <c r="H112" s="2" t="s">
        <v>37</v>
      </c>
      <c r="I112" s="6" t="s">
        <v>225</v>
      </c>
    </row>
    <row r="113" spans="1:9">
      <c r="A113" s="1" t="s">
        <v>226</v>
      </c>
      <c r="B113" s="2" t="s">
        <v>43</v>
      </c>
      <c r="C113" s="2" t="s">
        <v>27</v>
      </c>
      <c r="D113" s="2" t="s">
        <v>36</v>
      </c>
      <c r="E113" s="3">
        <v>31293</v>
      </c>
      <c r="F113" s="4" t="s">
        <v>11</v>
      </c>
      <c r="G113" s="5">
        <v>2</v>
      </c>
      <c r="H113" s="2" t="s">
        <v>37</v>
      </c>
      <c r="I113" s="6" t="s">
        <v>227</v>
      </c>
    </row>
    <row r="114" spans="1:9">
      <c r="A114" s="1" t="s">
        <v>228</v>
      </c>
      <c r="B114" s="2" t="s">
        <v>43</v>
      </c>
      <c r="C114" s="2" t="s">
        <v>35</v>
      </c>
      <c r="D114" s="2" t="s">
        <v>28</v>
      </c>
      <c r="E114" s="3">
        <v>34306</v>
      </c>
      <c r="F114" s="4">
        <v>42785</v>
      </c>
      <c r="G114" s="5">
        <v>5</v>
      </c>
      <c r="H114" s="2" t="s">
        <v>37</v>
      </c>
      <c r="I114" s="6" t="s">
        <v>159</v>
      </c>
    </row>
    <row r="115" spans="1:9">
      <c r="A115" s="1" t="s">
        <v>229</v>
      </c>
      <c r="B115" s="2" t="s">
        <v>17</v>
      </c>
      <c r="C115" s="2" t="s">
        <v>12</v>
      </c>
      <c r="D115" s="2" t="s">
        <v>36</v>
      </c>
      <c r="E115" s="3">
        <v>78330</v>
      </c>
      <c r="F115" s="4">
        <v>42792</v>
      </c>
      <c r="G115" s="5" t="s">
        <v>41</v>
      </c>
      <c r="H115" s="2" t="s">
        <v>20</v>
      </c>
      <c r="I115" s="6" t="s">
        <v>210</v>
      </c>
    </row>
    <row r="116" spans="1:9">
      <c r="A116" s="1" t="s">
        <v>230</v>
      </c>
      <c r="B116" s="2" t="s">
        <v>23</v>
      </c>
      <c r="C116" s="2" t="s">
        <v>35</v>
      </c>
      <c r="D116" s="2" t="s">
        <v>28</v>
      </c>
      <c r="E116" s="3">
        <v>47653</v>
      </c>
      <c r="F116" s="4">
        <v>42799</v>
      </c>
      <c r="G116" s="5">
        <v>1</v>
      </c>
      <c r="H116" s="2" t="s">
        <v>29</v>
      </c>
      <c r="I116" s="6" t="s">
        <v>231</v>
      </c>
    </row>
    <row r="117" spans="1:9">
      <c r="A117" s="1" t="s">
        <v>232</v>
      </c>
      <c r="B117" s="2" t="s">
        <v>17</v>
      </c>
      <c r="C117" s="2" t="s">
        <v>44</v>
      </c>
      <c r="D117" s="2" t="s">
        <v>49</v>
      </c>
      <c r="E117" s="3">
        <v>44627</v>
      </c>
      <c r="F117" s="4">
        <v>42806</v>
      </c>
      <c r="G117" s="5">
        <v>4</v>
      </c>
      <c r="H117" s="2" t="s">
        <v>11</v>
      </c>
      <c r="I117" s="6" t="s">
        <v>151</v>
      </c>
    </row>
    <row r="118" spans="1:9">
      <c r="A118" s="1" t="s">
        <v>233</v>
      </c>
      <c r="B118" s="2" t="s">
        <v>56</v>
      </c>
      <c r="C118" s="2" t="s">
        <v>18</v>
      </c>
      <c r="D118" s="2" t="s">
        <v>19</v>
      </c>
      <c r="E118" s="3">
        <v>92343</v>
      </c>
      <c r="F118" s="4">
        <v>42813</v>
      </c>
      <c r="G118" s="5">
        <v>4</v>
      </c>
      <c r="H118" s="2" t="s">
        <v>37</v>
      </c>
      <c r="I118" s="6" t="s">
        <v>79</v>
      </c>
    </row>
    <row r="119" spans="1:9">
      <c r="A119" s="1" t="s">
        <v>234</v>
      </c>
      <c r="B119" s="2" t="s">
        <v>56</v>
      </c>
      <c r="C119" s="2" t="s">
        <v>44</v>
      </c>
      <c r="D119" s="2" t="s">
        <v>66</v>
      </c>
      <c r="E119" s="3">
        <v>38837</v>
      </c>
      <c r="F119" s="4">
        <v>42820</v>
      </c>
      <c r="G119" s="5">
        <v>5</v>
      </c>
      <c r="H119" s="2" t="s">
        <v>37</v>
      </c>
      <c r="I119" s="6" t="s">
        <v>159</v>
      </c>
    </row>
    <row r="120" spans="1:9">
      <c r="A120" s="1" t="s">
        <v>235</v>
      </c>
      <c r="B120" s="2" t="s">
        <v>56</v>
      </c>
      <c r="C120" s="2" t="s">
        <v>44</v>
      </c>
      <c r="D120" s="2" t="s">
        <v>11</v>
      </c>
      <c r="E120" s="3">
        <v>73483</v>
      </c>
      <c r="F120" s="4">
        <v>42827</v>
      </c>
      <c r="G120" s="5">
        <v>1</v>
      </c>
      <c r="H120" s="2" t="s">
        <v>11</v>
      </c>
      <c r="I120" s="6" t="s">
        <v>236</v>
      </c>
    </row>
    <row r="121" spans="1:9">
      <c r="A121" s="1" t="s">
        <v>237</v>
      </c>
      <c r="B121" s="2" t="s">
        <v>43</v>
      </c>
      <c r="C121" s="2" t="s">
        <v>27</v>
      </c>
      <c r="D121" s="2" t="s">
        <v>36</v>
      </c>
      <c r="E121" s="3">
        <v>95032</v>
      </c>
      <c r="F121" s="4">
        <v>42834</v>
      </c>
      <c r="G121" s="5">
        <v>3</v>
      </c>
      <c r="H121" s="2" t="s">
        <v>11</v>
      </c>
      <c r="I121" s="6" t="s">
        <v>238</v>
      </c>
    </row>
    <row r="122" spans="1:9">
      <c r="A122" s="1" t="s">
        <v>239</v>
      </c>
      <c r="B122" s="2" t="s">
        <v>17</v>
      </c>
      <c r="C122" s="2" t="s">
        <v>27</v>
      </c>
      <c r="D122" s="2" t="s">
        <v>66</v>
      </c>
      <c r="E122" s="3">
        <v>44358</v>
      </c>
      <c r="F122" s="4">
        <v>42841</v>
      </c>
      <c r="G122" s="5" t="s">
        <v>41</v>
      </c>
      <c r="H122" s="2" t="s">
        <v>37</v>
      </c>
      <c r="I122" s="6" t="s">
        <v>73</v>
      </c>
    </row>
    <row r="123" spans="1:9">
      <c r="A123" s="1" t="s">
        <v>240</v>
      </c>
      <c r="B123" s="2" t="s">
        <v>11</v>
      </c>
      <c r="C123" s="2" t="s">
        <v>35</v>
      </c>
      <c r="D123" s="2" t="s">
        <v>28</v>
      </c>
      <c r="E123" s="3" t="s">
        <v>13</v>
      </c>
      <c r="F123" s="4" t="s">
        <v>11</v>
      </c>
      <c r="G123" s="5">
        <v>5</v>
      </c>
      <c r="H123" s="2" t="s">
        <v>14</v>
      </c>
      <c r="I123" s="6" t="s">
        <v>241</v>
      </c>
    </row>
    <row r="124" spans="1:9">
      <c r="A124" s="1" t="s">
        <v>242</v>
      </c>
      <c r="B124" s="2" t="s">
        <v>43</v>
      </c>
      <c r="C124" s="2" t="s">
        <v>27</v>
      </c>
      <c r="D124" s="2" t="s">
        <v>28</v>
      </c>
      <c r="E124" s="3">
        <v>45676</v>
      </c>
      <c r="F124" s="4">
        <v>42855</v>
      </c>
      <c r="G124" s="5">
        <v>2</v>
      </c>
      <c r="H124" s="2" t="s">
        <v>11</v>
      </c>
      <c r="I124" s="6" t="s">
        <v>243</v>
      </c>
    </row>
    <row r="125" spans="1:9">
      <c r="A125" s="1" t="s">
        <v>244</v>
      </c>
      <c r="B125" s="2" t="s">
        <v>56</v>
      </c>
      <c r="C125" s="2" t="s">
        <v>27</v>
      </c>
      <c r="D125" s="2" t="s">
        <v>19</v>
      </c>
      <c r="E125" s="3">
        <v>52036</v>
      </c>
      <c r="F125" s="4">
        <v>42862</v>
      </c>
      <c r="G125" s="5">
        <v>3</v>
      </c>
      <c r="H125" s="2" t="s">
        <v>29</v>
      </c>
      <c r="I125" s="6" t="s">
        <v>245</v>
      </c>
    </row>
    <row r="126" spans="1:9">
      <c r="A126" s="1" t="s">
        <v>246</v>
      </c>
      <c r="B126" s="2" t="s">
        <v>32</v>
      </c>
      <c r="C126" s="2" t="s">
        <v>11</v>
      </c>
      <c r="D126" s="2" t="s">
        <v>19</v>
      </c>
      <c r="E126" s="3">
        <v>30357</v>
      </c>
      <c r="F126" s="4">
        <v>42869</v>
      </c>
      <c r="G126" s="5">
        <v>5</v>
      </c>
      <c r="H126" s="2" t="s">
        <v>29</v>
      </c>
      <c r="I126" s="6" t="s">
        <v>184</v>
      </c>
    </row>
    <row r="127" spans="1:9">
      <c r="A127" s="1" t="s">
        <v>247</v>
      </c>
      <c r="B127" s="2" t="s">
        <v>26</v>
      </c>
      <c r="C127" s="2" t="s">
        <v>35</v>
      </c>
      <c r="D127" s="2" t="s">
        <v>11</v>
      </c>
      <c r="E127" s="3">
        <v>60034</v>
      </c>
      <c r="F127" s="4">
        <v>42876</v>
      </c>
      <c r="G127" s="5">
        <v>1</v>
      </c>
      <c r="H127" s="2" t="s">
        <v>37</v>
      </c>
      <c r="I127" s="6" t="s">
        <v>248</v>
      </c>
    </row>
    <row r="128" spans="1:9">
      <c r="A128" s="1" t="s">
        <v>249</v>
      </c>
      <c r="B128" s="2" t="s">
        <v>26</v>
      </c>
      <c r="C128" s="2" t="s">
        <v>12</v>
      </c>
      <c r="D128" s="2" t="s">
        <v>11</v>
      </c>
      <c r="E128" s="3">
        <v>90019</v>
      </c>
      <c r="F128" s="4">
        <v>42883</v>
      </c>
      <c r="G128" s="5">
        <v>5</v>
      </c>
      <c r="H128" s="2" t="s">
        <v>11</v>
      </c>
      <c r="I128" s="6" t="s">
        <v>250</v>
      </c>
    </row>
    <row r="129" spans="1:9">
      <c r="A129" s="1" t="s">
        <v>251</v>
      </c>
      <c r="B129" s="2" t="s">
        <v>56</v>
      </c>
      <c r="C129" s="2" t="s">
        <v>11</v>
      </c>
      <c r="D129" s="2" t="s">
        <v>19</v>
      </c>
      <c r="E129" s="3">
        <v>71494</v>
      </c>
      <c r="F129" s="4">
        <v>42890</v>
      </c>
      <c r="G129" s="5">
        <v>3</v>
      </c>
      <c r="H129" s="2" t="s">
        <v>29</v>
      </c>
      <c r="I129" s="6" t="s">
        <v>252</v>
      </c>
    </row>
    <row r="130" spans="1:9">
      <c r="A130" s="1" t="s">
        <v>253</v>
      </c>
      <c r="B130" s="2" t="s">
        <v>26</v>
      </c>
      <c r="C130" s="2" t="s">
        <v>12</v>
      </c>
      <c r="D130" s="2" t="s">
        <v>28</v>
      </c>
      <c r="E130" s="3">
        <v>91953</v>
      </c>
      <c r="F130" s="4">
        <v>42897</v>
      </c>
      <c r="G130" s="5">
        <v>2</v>
      </c>
      <c r="H130" s="2" t="s">
        <v>29</v>
      </c>
      <c r="I130" s="6" t="s">
        <v>91</v>
      </c>
    </row>
    <row r="131" spans="1:9">
      <c r="A131" s="1" t="s">
        <v>254</v>
      </c>
      <c r="B131" s="2" t="s">
        <v>43</v>
      </c>
      <c r="C131" s="2" t="s">
        <v>27</v>
      </c>
      <c r="D131" s="2" t="s">
        <v>28</v>
      </c>
      <c r="E131" s="3">
        <v>30402</v>
      </c>
      <c r="F131" s="4">
        <v>42904</v>
      </c>
      <c r="G131" s="5">
        <v>1</v>
      </c>
      <c r="H131" s="2" t="s">
        <v>11</v>
      </c>
      <c r="I131" s="6" t="s">
        <v>255</v>
      </c>
    </row>
    <row r="132" spans="1:9">
      <c r="A132" s="1" t="s">
        <v>256</v>
      </c>
      <c r="B132" s="2" t="s">
        <v>56</v>
      </c>
      <c r="C132" s="2" t="s">
        <v>11</v>
      </c>
      <c r="D132" s="2" t="s">
        <v>49</v>
      </c>
      <c r="E132" s="3">
        <v>62994</v>
      </c>
      <c r="F132" s="4">
        <v>42911</v>
      </c>
      <c r="G132" s="5" t="s">
        <v>41</v>
      </c>
      <c r="H132" s="2" t="s">
        <v>11</v>
      </c>
      <c r="I132" s="6" t="s">
        <v>116</v>
      </c>
    </row>
    <row r="133" spans="1:9">
      <c r="A133" s="1" t="s">
        <v>257</v>
      </c>
      <c r="B133" s="2" t="s">
        <v>23</v>
      </c>
      <c r="C133" s="2" t="s">
        <v>27</v>
      </c>
      <c r="D133" s="2" t="s">
        <v>36</v>
      </c>
      <c r="E133" s="3">
        <v>48289</v>
      </c>
      <c r="F133" s="4" t="s">
        <v>11</v>
      </c>
      <c r="G133" s="5">
        <v>3</v>
      </c>
      <c r="H133" s="2" t="s">
        <v>29</v>
      </c>
      <c r="I133" s="6" t="s">
        <v>47</v>
      </c>
    </row>
    <row r="134" spans="1:9">
      <c r="A134" s="1" t="s">
        <v>258</v>
      </c>
      <c r="B134" s="2" t="s">
        <v>40</v>
      </c>
      <c r="C134" s="2" t="s">
        <v>44</v>
      </c>
      <c r="D134" s="2" t="s">
        <v>19</v>
      </c>
      <c r="E134" s="3">
        <v>34402</v>
      </c>
      <c r="F134" s="4">
        <v>42925</v>
      </c>
      <c r="G134" s="5">
        <v>3</v>
      </c>
      <c r="H134" s="2" t="s">
        <v>20</v>
      </c>
      <c r="I134" s="6" t="s">
        <v>110</v>
      </c>
    </row>
    <row r="135" spans="1:9">
      <c r="A135" s="1" t="s">
        <v>259</v>
      </c>
      <c r="B135" s="2" t="s">
        <v>17</v>
      </c>
      <c r="C135" s="2" t="s">
        <v>18</v>
      </c>
      <c r="D135" s="2" t="s">
        <v>28</v>
      </c>
      <c r="E135" s="3">
        <v>38678</v>
      </c>
      <c r="F135" s="4">
        <v>42932</v>
      </c>
      <c r="G135" s="5">
        <v>3</v>
      </c>
      <c r="H135" s="2" t="s">
        <v>20</v>
      </c>
      <c r="I135" s="6" t="s">
        <v>260</v>
      </c>
    </row>
    <row r="136" spans="1:9">
      <c r="A136" s="1" t="s">
        <v>261</v>
      </c>
      <c r="B136" s="2" t="s">
        <v>43</v>
      </c>
      <c r="C136" s="2" t="s">
        <v>18</v>
      </c>
      <c r="D136" s="2" t="s">
        <v>19</v>
      </c>
      <c r="E136" s="3">
        <v>45758</v>
      </c>
      <c r="F136" s="4">
        <v>42939</v>
      </c>
      <c r="G136" s="5">
        <v>3</v>
      </c>
      <c r="H136" s="2" t="s">
        <v>11</v>
      </c>
      <c r="I136" s="6" t="s">
        <v>227</v>
      </c>
    </row>
    <row r="137" spans="1:9">
      <c r="A137" s="1" t="s">
        <v>262</v>
      </c>
      <c r="B137" s="2" t="s">
        <v>17</v>
      </c>
      <c r="C137" s="2" t="s">
        <v>44</v>
      </c>
      <c r="D137" s="2" t="s">
        <v>36</v>
      </c>
      <c r="E137" s="3">
        <v>62476</v>
      </c>
      <c r="F137" s="4">
        <v>42946</v>
      </c>
      <c r="G137" s="5">
        <v>1</v>
      </c>
      <c r="H137" s="2" t="s">
        <v>20</v>
      </c>
      <c r="I137" s="6" t="s">
        <v>140</v>
      </c>
    </row>
    <row r="138" spans="1:9">
      <c r="A138" s="1" t="s">
        <v>263</v>
      </c>
      <c r="B138" s="2" t="s">
        <v>11</v>
      </c>
      <c r="C138" s="2" t="s">
        <v>35</v>
      </c>
      <c r="D138" s="2" t="s">
        <v>49</v>
      </c>
      <c r="E138" s="3">
        <v>39280</v>
      </c>
      <c r="F138" s="4">
        <v>42953</v>
      </c>
      <c r="G138" s="5">
        <v>3</v>
      </c>
      <c r="H138" s="2" t="s">
        <v>37</v>
      </c>
      <c r="I138" s="6" t="s">
        <v>101</v>
      </c>
    </row>
    <row r="139" spans="1:9">
      <c r="A139" s="1" t="s">
        <v>264</v>
      </c>
      <c r="B139" s="2" t="s">
        <v>32</v>
      </c>
      <c r="C139" s="2" t="s">
        <v>12</v>
      </c>
      <c r="D139" s="2" t="s">
        <v>36</v>
      </c>
      <c r="E139" s="3">
        <v>60335</v>
      </c>
      <c r="F139" s="4">
        <v>42960</v>
      </c>
      <c r="G139" s="5">
        <v>4</v>
      </c>
      <c r="H139" s="2" t="s">
        <v>20</v>
      </c>
      <c r="I139" s="6" t="s">
        <v>131</v>
      </c>
    </row>
    <row r="140" spans="1:9">
      <c r="A140" s="1" t="s">
        <v>265</v>
      </c>
      <c r="B140" s="2" t="s">
        <v>43</v>
      </c>
      <c r="C140" s="2" t="s">
        <v>18</v>
      </c>
      <c r="D140" s="2" t="s">
        <v>19</v>
      </c>
      <c r="E140" s="3">
        <v>84968</v>
      </c>
      <c r="F140" s="4">
        <v>42967</v>
      </c>
      <c r="G140" s="5" t="s">
        <v>41</v>
      </c>
      <c r="H140" s="2" t="s">
        <v>11</v>
      </c>
      <c r="I140" s="6" t="s">
        <v>266</v>
      </c>
    </row>
    <row r="141" spans="1:9">
      <c r="A141" s="1" t="s">
        <v>267</v>
      </c>
      <c r="B141" s="2" t="s">
        <v>43</v>
      </c>
      <c r="C141" s="2" t="s">
        <v>44</v>
      </c>
      <c r="D141" s="2" t="s">
        <v>66</v>
      </c>
      <c r="E141" s="3">
        <v>84750</v>
      </c>
      <c r="F141" s="4">
        <v>42974</v>
      </c>
      <c r="G141" s="5">
        <v>4</v>
      </c>
      <c r="H141" s="2" t="s">
        <v>37</v>
      </c>
      <c r="I141" s="6" t="s">
        <v>62</v>
      </c>
    </row>
    <row r="142" spans="1:9">
      <c r="A142" s="1" t="s">
        <v>268</v>
      </c>
      <c r="B142" s="2" t="s">
        <v>56</v>
      </c>
      <c r="C142" s="2" t="s">
        <v>35</v>
      </c>
      <c r="D142" s="2" t="s">
        <v>11</v>
      </c>
      <c r="E142" s="3">
        <v>73348</v>
      </c>
      <c r="F142" s="4">
        <v>42981</v>
      </c>
      <c r="G142" s="5">
        <v>2</v>
      </c>
      <c r="H142" s="2" t="s">
        <v>11</v>
      </c>
      <c r="I142" s="6" t="s">
        <v>173</v>
      </c>
    </row>
    <row r="143" spans="1:9">
      <c r="A143" s="1" t="s">
        <v>269</v>
      </c>
      <c r="B143" s="2" t="s">
        <v>43</v>
      </c>
      <c r="C143" s="2" t="s">
        <v>27</v>
      </c>
      <c r="D143" s="2" t="s">
        <v>28</v>
      </c>
      <c r="E143" s="3" t="s">
        <v>13</v>
      </c>
      <c r="F143" s="4">
        <v>42988</v>
      </c>
      <c r="G143" s="5">
        <v>4</v>
      </c>
      <c r="H143" s="2" t="s">
        <v>20</v>
      </c>
      <c r="I143" s="6" t="s">
        <v>15</v>
      </c>
    </row>
    <row r="144" spans="1:9">
      <c r="A144" s="1" t="s">
        <v>270</v>
      </c>
      <c r="B144" s="2" t="s">
        <v>32</v>
      </c>
      <c r="C144" s="2" t="s">
        <v>44</v>
      </c>
      <c r="D144" s="2" t="s">
        <v>28</v>
      </c>
      <c r="E144" s="3">
        <v>66882</v>
      </c>
      <c r="F144" s="4">
        <v>42995</v>
      </c>
      <c r="G144" s="5">
        <v>5</v>
      </c>
      <c r="H144" s="2" t="s">
        <v>20</v>
      </c>
      <c r="I144" s="6" t="s">
        <v>87</v>
      </c>
    </row>
    <row r="145" spans="1:9">
      <c r="A145" s="1" t="s">
        <v>271</v>
      </c>
      <c r="B145" s="2" t="s">
        <v>23</v>
      </c>
      <c r="C145" s="2" t="s">
        <v>44</v>
      </c>
      <c r="D145" s="2" t="s">
        <v>11</v>
      </c>
      <c r="E145" s="3">
        <v>86775</v>
      </c>
      <c r="F145" s="4">
        <v>43002</v>
      </c>
      <c r="G145" s="5">
        <v>3</v>
      </c>
      <c r="H145" s="2" t="s">
        <v>20</v>
      </c>
      <c r="I145" s="6" t="s">
        <v>97</v>
      </c>
    </row>
    <row r="146" spans="1:9">
      <c r="A146" s="1" t="s">
        <v>272</v>
      </c>
      <c r="B146" s="2" t="s">
        <v>43</v>
      </c>
      <c r="C146" s="2" t="s">
        <v>27</v>
      </c>
      <c r="D146" s="2" t="s">
        <v>49</v>
      </c>
      <c r="E146" s="3">
        <v>91620</v>
      </c>
      <c r="F146" s="4">
        <v>43009</v>
      </c>
      <c r="G146" s="5" t="s">
        <v>41</v>
      </c>
      <c r="H146" s="2" t="s">
        <v>11</v>
      </c>
      <c r="I146" s="6" t="s">
        <v>273</v>
      </c>
    </row>
    <row r="147" spans="1:9">
      <c r="A147" s="1" t="s">
        <v>274</v>
      </c>
      <c r="B147" s="2" t="s">
        <v>17</v>
      </c>
      <c r="C147" s="2" t="s">
        <v>11</v>
      </c>
      <c r="D147" s="2" t="s">
        <v>11</v>
      </c>
      <c r="E147" s="3">
        <v>94148</v>
      </c>
      <c r="F147" s="4">
        <v>43016</v>
      </c>
      <c r="G147" s="5">
        <v>2</v>
      </c>
      <c r="H147" s="2" t="s">
        <v>11</v>
      </c>
      <c r="I147" s="6" t="s">
        <v>275</v>
      </c>
    </row>
    <row r="148" spans="1:9">
      <c r="A148" s="1" t="s">
        <v>276</v>
      </c>
      <c r="B148" s="2" t="s">
        <v>40</v>
      </c>
      <c r="C148" s="2" t="s">
        <v>27</v>
      </c>
      <c r="D148" s="2" t="s">
        <v>66</v>
      </c>
      <c r="E148" s="3">
        <v>35627</v>
      </c>
      <c r="F148" s="4">
        <v>43023</v>
      </c>
      <c r="G148" s="5">
        <v>5</v>
      </c>
      <c r="H148" s="2" t="s">
        <v>37</v>
      </c>
      <c r="I148" s="6" t="s">
        <v>260</v>
      </c>
    </row>
    <row r="149" spans="1:9">
      <c r="A149" s="1" t="s">
        <v>277</v>
      </c>
      <c r="B149" s="2" t="s">
        <v>26</v>
      </c>
      <c r="C149" s="2" t="s">
        <v>44</v>
      </c>
      <c r="D149" s="2" t="s">
        <v>28</v>
      </c>
      <c r="E149" s="3">
        <v>57141</v>
      </c>
      <c r="F149" s="4">
        <v>43030</v>
      </c>
      <c r="G149" s="5">
        <v>2</v>
      </c>
      <c r="H149" s="2" t="s">
        <v>11</v>
      </c>
      <c r="I149" s="6" t="s">
        <v>266</v>
      </c>
    </row>
    <row r="150" spans="1:9">
      <c r="A150" s="1" t="s">
        <v>278</v>
      </c>
      <c r="B150" s="2" t="s">
        <v>56</v>
      </c>
      <c r="C150" s="2" t="s">
        <v>27</v>
      </c>
      <c r="D150" s="2" t="s">
        <v>66</v>
      </c>
      <c r="E150" s="3">
        <v>65270</v>
      </c>
      <c r="F150" s="4">
        <v>43037</v>
      </c>
      <c r="G150" s="5">
        <v>1</v>
      </c>
      <c r="H150" s="2" t="s">
        <v>11</v>
      </c>
      <c r="I150" s="6" t="s">
        <v>279</v>
      </c>
    </row>
    <row r="151" spans="1:9">
      <c r="A151" s="1" t="s">
        <v>280</v>
      </c>
      <c r="B151" s="2" t="s">
        <v>56</v>
      </c>
      <c r="C151" s="2" t="s">
        <v>11</v>
      </c>
      <c r="D151" s="2" t="s">
        <v>49</v>
      </c>
      <c r="E151" s="3">
        <v>67335</v>
      </c>
      <c r="F151" s="4">
        <v>43044</v>
      </c>
      <c r="G151" s="5">
        <v>1</v>
      </c>
      <c r="H151" s="2" t="s">
        <v>20</v>
      </c>
      <c r="I151" s="6" t="s">
        <v>146</v>
      </c>
    </row>
    <row r="152" spans="1:9">
      <c r="A152" s="7" t="s">
        <v>281</v>
      </c>
      <c r="B152" s="8" t="s">
        <v>40</v>
      </c>
      <c r="C152" s="8" t="s">
        <v>44</v>
      </c>
      <c r="D152" s="8" t="s">
        <v>36</v>
      </c>
      <c r="E152" s="9">
        <v>98475</v>
      </c>
      <c r="F152" s="10">
        <v>43051</v>
      </c>
      <c r="G152" s="11">
        <v>5</v>
      </c>
      <c r="H152" s="8" t="s">
        <v>20</v>
      </c>
      <c r="I152" s="12" t="s">
        <v>282</v>
      </c>
    </row>
  </sheetData>
  <mergeCells count="63">
    <mergeCell ref="S17:Y18"/>
    <mergeCell ref="S29:Z30"/>
    <mergeCell ref="S31:Z32"/>
    <mergeCell ref="A1:I1"/>
    <mergeCell ref="S1:Y1"/>
    <mergeCell ref="T19:X19"/>
    <mergeCell ref="Y19:Y20"/>
    <mergeCell ref="S19:S20"/>
    <mergeCell ref="S15:Y16"/>
    <mergeCell ref="K2:P2"/>
    <mergeCell ref="S2:Y2"/>
    <mergeCell ref="S3:S4"/>
    <mergeCell ref="T3:X3"/>
    <mergeCell ref="Y3:Y4"/>
    <mergeCell ref="Q60:Q61"/>
    <mergeCell ref="Z33:Z34"/>
    <mergeCell ref="S33:S34"/>
    <mergeCell ref="T33:Y33"/>
    <mergeCell ref="K51:K52"/>
    <mergeCell ref="L51:P51"/>
    <mergeCell ref="K60:K61"/>
    <mergeCell ref="L60:L61"/>
    <mergeCell ref="M60:M61"/>
    <mergeCell ref="N60:N61"/>
    <mergeCell ref="O60:O61"/>
    <mergeCell ref="P60:P61"/>
    <mergeCell ref="Q36:Q37"/>
    <mergeCell ref="K39:K40"/>
    <mergeCell ref="L39:P39"/>
    <mergeCell ref="K48:K49"/>
    <mergeCell ref="L48:L49"/>
    <mergeCell ref="M48:M49"/>
    <mergeCell ref="N48:N49"/>
    <mergeCell ref="O48:O49"/>
    <mergeCell ref="P48:P49"/>
    <mergeCell ref="Q48:Q49"/>
    <mergeCell ref="Q24:Q25"/>
    <mergeCell ref="K1:P1"/>
    <mergeCell ref="K27:K28"/>
    <mergeCell ref="L27:P27"/>
    <mergeCell ref="K36:K37"/>
    <mergeCell ref="L36:L37"/>
    <mergeCell ref="M36:M37"/>
    <mergeCell ref="N36:N37"/>
    <mergeCell ref="O36:O37"/>
    <mergeCell ref="P36:P37"/>
    <mergeCell ref="P12:P13"/>
    <mergeCell ref="Q12:Q13"/>
    <mergeCell ref="K15:K16"/>
    <mergeCell ref="L15:P15"/>
    <mergeCell ref="K24:K25"/>
    <mergeCell ref="L24:L25"/>
    <mergeCell ref="M24:M25"/>
    <mergeCell ref="N24:N25"/>
    <mergeCell ref="O24:O25"/>
    <mergeCell ref="P24:P25"/>
    <mergeCell ref="K3:K4"/>
    <mergeCell ref="K12:K13"/>
    <mergeCell ref="L12:L13"/>
    <mergeCell ref="M12:M13"/>
    <mergeCell ref="L3:P3"/>
    <mergeCell ref="N12:N13"/>
    <mergeCell ref="O12:O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2026-01-04T13:30:44Z</dcterms:created>
  <dcterms:modified xsi:type="dcterms:W3CDTF">2026-01-04T17:50:11Z</dcterms:modified>
  <cp:category/>
  <cp:contentStatus/>
</cp:coreProperties>
</file>
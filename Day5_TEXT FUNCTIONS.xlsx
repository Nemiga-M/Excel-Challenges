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 defaultThemeVersion="166925"/>
  <xr:revisionPtr revIDLastSave="0" documentId="8_{44B10D5D-9D42-45C4-9FA9-8EB80FFBD244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Raw data for Day5" sheetId="3" r:id="rId1"/>
    <sheet name="Day5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4" l="1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4" i="4"/>
  <c r="F3" i="4"/>
  <c r="E3" i="4"/>
  <c r="D3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4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I3" i="4"/>
  <c r="H3" i="4"/>
  <c r="G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tc={C4C75E27-24DB-4B67-BA7A-BBB68AA673BD}</author>
  </authors>
  <commentList>
    <comment ref="A1" authorId="0" shapeId="0" xr:uid="{C4C75E27-24DB-4B67-BA7A-BBB68AA673BD}">
      <text>
        <t>[Threaded comment]
Your version of Excel allows you to read this threaded comment; however, any edits to it will get removed if the file is opened in a newer version of Excel. Learn more: https://go.microsoft.com/fwlink/?linkid=870924
Comment:
    Day 4 daily challenge dataset is taken as a raw dataset for day5 challenge.
TASK: Clean &amp; Format text columns by using LEFT(), RIGHT(),MID(), UPPER(), LOWERR(), PROPER().</t>
      </text>
    </comment>
  </commentList>
</comments>
</file>

<file path=xl/sharedStrings.xml><?xml version="1.0" encoding="utf-8"?>
<sst xmlns="http://schemas.openxmlformats.org/spreadsheetml/2006/main" count="982" uniqueCount="295">
  <si>
    <t>RAW DATA FOR DAY5 CHALLENGE</t>
  </si>
  <si>
    <t>Employee ID</t>
  </si>
  <si>
    <t>Names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</si>
  <si>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</si>
  <si>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</si>
  <si>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</si>
  <si>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</si>
  <si>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</si>
  <si>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</si>
  <si>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</si>
  <si>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</si>
  <si>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Un-known</t>
  </si>
  <si>
    <t>finance</t>
  </si>
  <si>
    <t>0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</si>
  <si>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</si>
  <si>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</si>
  <si>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</si>
  <si>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</si>
  <si>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</si>
  <si>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</si>
  <si>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</si>
  <si>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</si>
  <si>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</si>
  <si>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</si>
  <si>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</si>
  <si>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</si>
  <si>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</si>
  <si>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</si>
  <si>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</si>
  <si>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</si>
  <si>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</si>
  <si>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</si>
  <si>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</si>
  <si>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</si>
  <si>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</si>
  <si>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</si>
  <si>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</si>
  <si>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</si>
  <si>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</si>
  <si>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</si>
  <si>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</si>
  <si>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N/A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</si>
  <si>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</si>
  <si>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</si>
  <si>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</si>
  <si>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</si>
  <si>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</si>
  <si>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</si>
  <si>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</si>
  <si>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</si>
  <si>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</si>
  <si>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</si>
  <si>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</si>
  <si>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</si>
  <si>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</si>
  <si>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</si>
  <si>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</si>
  <si>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</si>
  <si>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</si>
  <si>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</si>
  <si>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</si>
  <si>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</si>
  <si>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</si>
  <si>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</si>
  <si>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</si>
  <si>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</si>
  <si>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</si>
  <si>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</si>
  <si>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</si>
  <si>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</si>
  <si>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</si>
  <si>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</si>
  <si>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</si>
  <si>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</si>
  <si>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</si>
  <si>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</si>
  <si>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</si>
  <si>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</si>
  <si>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</si>
  <si>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</si>
  <si>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</si>
  <si>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</si>
  <si>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</si>
  <si>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</si>
  <si>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</si>
  <si>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</si>
  <si>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</si>
  <si>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</si>
  <si>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</si>
  <si>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</si>
  <si>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</si>
  <si>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</si>
  <si>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</si>
  <si>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</si>
  <si>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</si>
  <si>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</si>
  <si>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</si>
  <si>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</si>
  <si>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</si>
  <si>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</si>
  <si>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</si>
  <si>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</si>
  <si>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</si>
  <si>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</si>
  <si>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</si>
  <si>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</si>
  <si>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</si>
  <si>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</si>
  <si>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</si>
  <si>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</si>
  <si>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</si>
  <si>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</si>
  <si>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</si>
  <si>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</si>
  <si>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</si>
  <si>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</si>
  <si>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</si>
  <si>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</si>
  <si>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</si>
  <si>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</si>
  <si>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</si>
  <si>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</si>
  <si>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</si>
  <si>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</si>
  <si>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</si>
  <si>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</si>
  <si>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</si>
  <si>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</si>
  <si>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</si>
  <si>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</si>
  <si>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</si>
  <si>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</si>
  <si>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</si>
  <si>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</si>
  <si>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</si>
  <si>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</si>
  <si>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</si>
  <si>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</si>
  <si>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</si>
  <si>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</si>
  <si>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</si>
  <si>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</si>
  <si>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</si>
  <si>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</si>
  <si>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</si>
  <si>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</si>
  <si>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</si>
  <si>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</si>
  <si>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</si>
  <si>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</si>
  <si>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</si>
  <si>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</si>
  <si>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</si>
  <si>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</si>
  <si>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</si>
  <si>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</si>
  <si>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</si>
  <si>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</si>
  <si>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</si>
  <si>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</si>
  <si>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</si>
  <si>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</si>
  <si>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</si>
  <si>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</si>
  <si>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</si>
  <si>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</si>
  <si>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</si>
  <si>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</si>
  <si>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</si>
  <si>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</si>
  <si>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</si>
  <si>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</si>
  <si>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</si>
  <si>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</si>
  <si>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</si>
  <si>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</si>
  <si>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</si>
  <si>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</si>
  <si>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</si>
  <si>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</si>
  <si>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</si>
  <si>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</si>
  <si>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</si>
  <si>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</si>
  <si>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</si>
  <si>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</si>
  <si>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</si>
  <si>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</si>
  <si>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</si>
  <si>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</si>
  <si>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</si>
  <si>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</si>
  <si>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</si>
  <si>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</si>
  <si>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</si>
  <si>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</si>
  <si>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</si>
  <si>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</si>
  <si>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</si>
  <si>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</si>
  <si>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</si>
  <si>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</si>
  <si>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</si>
  <si>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</si>
  <si>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</si>
  <si>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</si>
  <si>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</si>
  <si>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</si>
  <si>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</si>
  <si>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</si>
  <si>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</si>
  <si>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</si>
  <si>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</si>
  <si>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</si>
  <si>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</si>
  <si>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</si>
  <si>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</si>
  <si>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</si>
  <si>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</si>
  <si>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</si>
  <si>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</si>
  <si>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</si>
  <si>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</si>
  <si>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</si>
  <si>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</si>
  <si>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</si>
  <si>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</si>
  <si>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</si>
  <si>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</si>
  <si>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</si>
  <si>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</si>
  <si>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</si>
  <si>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</si>
  <si>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</si>
  <si>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</si>
  <si>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</si>
  <si>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</si>
  <si>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</si>
  <si>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</si>
  <si>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</si>
  <si>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</si>
  <si>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</si>
  <si>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</si>
  <si>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</si>
  <si>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</si>
  <si>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</si>
  <si>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</si>
  <si>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</si>
  <si>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</si>
  <si>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</si>
  <si>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</si>
  <si>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</si>
  <si>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</si>
  <si>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</si>
  <si>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</si>
  <si>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</si>
  <si>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</si>
  <si>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</si>
  <si>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</si>
  <si>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</si>
  <si>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</si>
  <si>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</si>
  <si>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</si>
  <si>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</si>
  <si>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</si>
  <si>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</si>
  <si>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</si>
  <si>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</si>
  <si>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</si>
  <si>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</si>
  <si>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</si>
  <si>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</si>
  <si>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</si>
  <si>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</si>
  <si>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</si>
  <si>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</si>
  <si>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</si>
  <si>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</si>
  <si>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</si>
  <si>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</si>
  <si>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</si>
  <si>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</si>
  <si>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</si>
  <si>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DAY 5 CHALLENGE - UTILISING TEXT FUNCTIONS</t>
  </si>
  <si>
    <t>DESCRIPTION OF THE PROCESS</t>
  </si>
  <si>
    <r>
      <rPr>
        <sz val="11"/>
        <color rgb="FF000000"/>
        <rFont val="Calibri"/>
      </rPr>
      <t xml:space="preserve">By using </t>
    </r>
    <r>
      <rPr>
        <b/>
        <sz val="11"/>
        <color rgb="FF000000"/>
        <rFont val="Calibri"/>
      </rPr>
      <t>LEFT()  &amp; RIGHT()</t>
    </r>
    <r>
      <rPr>
        <sz val="11"/>
        <color rgb="FF000000"/>
        <rFont val="Calibri"/>
      </rPr>
      <t xml:space="preserve">  Text (EMP) and Numerical value(1000, 1001,..)  was extracted from the column Employee ID.</t>
    </r>
  </si>
  <si>
    <r>
      <rPr>
        <sz val="11"/>
        <color rgb="FF000000"/>
        <rFont val="Calibri"/>
        <scheme val="minor"/>
      </rPr>
      <t>By using</t>
    </r>
    <r>
      <rPr>
        <b/>
        <sz val="11"/>
        <color rgb="FF000000"/>
        <rFont val="Calibri"/>
        <scheme val="minor"/>
      </rPr>
      <t xml:space="preserve"> PROPER()</t>
    </r>
    <r>
      <rPr>
        <sz val="11"/>
        <color rgb="FF000000"/>
        <rFont val="Calibri"/>
        <scheme val="minor"/>
      </rPr>
      <t xml:space="preserve"> each word was capitalised in Names Column</t>
    </r>
  </si>
  <si>
    <r>
      <rPr>
        <sz val="11"/>
        <color rgb="FF000000"/>
        <rFont val="Calibri"/>
      </rPr>
      <t>The</t>
    </r>
    <r>
      <rPr>
        <b/>
        <sz val="11"/>
        <color rgb="FF000000"/>
        <rFont val="Calibri"/>
      </rPr>
      <t xml:space="preserve"> IF()</t>
    </r>
    <r>
      <rPr>
        <sz val="11"/>
        <color rgb="FF000000"/>
        <rFont val="Calibri"/>
      </rPr>
      <t xml:space="preserve"> was applied along with </t>
    </r>
    <r>
      <rPr>
        <b/>
        <sz val="11"/>
        <color rgb="FF000000"/>
        <rFont val="Calibri"/>
      </rPr>
      <t>PROPER()</t>
    </r>
    <r>
      <rPr>
        <sz val="11"/>
        <color rgb="FF000000"/>
        <rFont val="Calibri"/>
      </rPr>
      <t xml:space="preserve"> and </t>
    </r>
    <r>
      <rPr>
        <b/>
        <sz val="11"/>
        <color rgb="FF000000"/>
        <rFont val="Calibri"/>
      </rPr>
      <t>UPPER()</t>
    </r>
    <r>
      <rPr>
        <sz val="11"/>
        <color rgb="FF000000"/>
        <rFont val="Calibri"/>
      </rPr>
      <t xml:space="preserve"> to format text fields as required by the conditional logic.</t>
    </r>
  </si>
  <si>
    <r>
      <rPr>
        <sz val="11"/>
        <color rgb="FF242424"/>
        <rFont val="Aptos Narrow"/>
      </rPr>
      <t xml:space="preserve">The </t>
    </r>
    <r>
      <rPr>
        <b/>
        <sz val="11"/>
        <color rgb="FF242424"/>
        <rFont val="Aptos Narrow"/>
      </rPr>
      <t>IF()</t>
    </r>
    <r>
      <rPr>
        <sz val="11"/>
        <color rgb="FF242424"/>
        <rFont val="Aptos Narrow"/>
      </rPr>
      <t xml:space="preserve"> was applied along with</t>
    </r>
    <r>
      <rPr>
        <b/>
        <sz val="11"/>
        <color rgb="FF242424"/>
        <rFont val="Aptos Narrow"/>
      </rPr>
      <t xml:space="preserve"> PROPER()</t>
    </r>
    <r>
      <rPr>
        <sz val="11"/>
        <color rgb="FF242424"/>
        <rFont val="Aptos Narrow"/>
      </rPr>
      <t xml:space="preserve"> and </t>
    </r>
    <r>
      <rPr>
        <b/>
        <sz val="11"/>
        <color rgb="FF242424"/>
        <rFont val="Aptos Narrow"/>
      </rPr>
      <t>UPPER()</t>
    </r>
    <r>
      <rPr>
        <sz val="11"/>
        <color rgb="FF242424"/>
        <rFont val="Aptos Narrow"/>
      </rPr>
      <t xml:space="preserve"> to format text fields as required by the conditional logic.</t>
    </r>
  </si>
  <si>
    <r>
      <rPr>
        <sz val="11"/>
        <color rgb="FF000000"/>
        <rFont val="Calibri"/>
        <scheme val="minor"/>
      </rPr>
      <t xml:space="preserve">The Email column was standardized by applying the </t>
    </r>
    <r>
      <rPr>
        <b/>
        <sz val="11"/>
        <color rgb="FF000000"/>
        <rFont val="Calibri"/>
        <scheme val="minor"/>
      </rPr>
      <t>LOWER()</t>
    </r>
    <r>
      <rPr>
        <sz val="11"/>
        <color rgb="FF000000"/>
        <rFont val="Calibri"/>
        <scheme val="minor"/>
      </rPr>
      <t xml:space="preserve"> function to ensure all values are in lowercase format.</t>
    </r>
  </si>
  <si>
    <r>
      <rPr>
        <sz val="11"/>
        <color rgb="FF000000"/>
        <rFont val="Calibri"/>
        <scheme val="minor"/>
      </rPr>
      <t xml:space="preserve">By using </t>
    </r>
    <r>
      <rPr>
        <b/>
        <sz val="11"/>
        <color rgb="FF000000"/>
        <rFont val="Calibri"/>
        <scheme val="minor"/>
      </rPr>
      <t xml:space="preserve">CLEAN() </t>
    </r>
    <r>
      <rPr>
        <sz val="11"/>
        <color rgb="FF000000"/>
        <rFont val="Calibri"/>
        <scheme val="minor"/>
      </rPr>
      <t xml:space="preserve">&amp; </t>
    </r>
    <r>
      <rPr>
        <b/>
        <sz val="11"/>
        <color rgb="FF000000"/>
        <rFont val="Calibri"/>
        <scheme val="minor"/>
      </rPr>
      <t>TRIM()</t>
    </r>
    <r>
      <rPr>
        <sz val="11"/>
        <color rgb="FF000000"/>
        <rFont val="Calibri"/>
        <scheme val="minor"/>
      </rPr>
      <t xml:space="preserve"> unwanted characters were removed and formatted to </t>
    </r>
    <r>
      <rPr>
        <b/>
        <sz val="11"/>
        <color rgb="FF000000"/>
        <rFont val="Calibri"/>
        <scheme val="minor"/>
      </rPr>
      <t xml:space="preserve">Currency </t>
    </r>
    <r>
      <rPr>
        <sz val="11"/>
        <color rgb="FF000000"/>
        <rFont val="Calibri"/>
        <scheme val="minor"/>
      </rPr>
      <t>data type.</t>
    </r>
  </si>
  <si>
    <r>
      <rPr>
        <sz val="11"/>
        <color rgb="FF242424"/>
        <rFont val="Aptos Narrow"/>
      </rPr>
      <t xml:space="preserve">Values were extracted from raw dataset and converted to </t>
    </r>
    <r>
      <rPr>
        <b/>
        <sz val="11"/>
        <color rgb="FF242424"/>
        <rFont val="Aptos Narrow"/>
      </rPr>
      <t xml:space="preserve">Date </t>
    </r>
    <r>
      <rPr>
        <sz val="11"/>
        <color rgb="FF242424"/>
        <rFont val="Aptos Narrow"/>
      </rPr>
      <t>data type.</t>
    </r>
  </si>
  <si>
    <r>
      <rPr>
        <sz val="11"/>
        <color rgb="FF242424"/>
        <rFont val="Aptos Narrow"/>
      </rPr>
      <t>By using</t>
    </r>
    <r>
      <rPr>
        <b/>
        <sz val="11"/>
        <color rgb="FF242424"/>
        <rFont val="Aptos Narrow"/>
      </rPr>
      <t xml:space="preserve"> CLEAN()</t>
    </r>
    <r>
      <rPr>
        <sz val="11"/>
        <color rgb="FF242424"/>
        <rFont val="Aptos Narrow"/>
      </rPr>
      <t xml:space="preserve"> &amp; </t>
    </r>
    <r>
      <rPr>
        <b/>
        <sz val="11"/>
        <color rgb="FF242424"/>
        <rFont val="Aptos Narrow"/>
      </rPr>
      <t>TRIM()</t>
    </r>
    <r>
      <rPr>
        <sz val="11"/>
        <color rgb="FF242424"/>
        <rFont val="Aptos Narrow"/>
      </rPr>
      <t xml:space="preserve"> unwanted characters were removed and formatted to </t>
    </r>
    <r>
      <rPr>
        <b/>
        <sz val="11"/>
        <color rgb="FF242424"/>
        <rFont val="Aptos Narrow"/>
      </rPr>
      <t xml:space="preserve">Text </t>
    </r>
    <r>
      <rPr>
        <sz val="11"/>
        <color rgb="FF242424"/>
        <rFont val="Aptos Narrow"/>
      </rPr>
      <t>data type.</t>
    </r>
  </si>
  <si>
    <r>
      <rPr>
        <sz val="11"/>
        <color rgb="FF242424"/>
        <rFont val="Aptos Narrow"/>
      </rPr>
      <t xml:space="preserve">By using </t>
    </r>
    <r>
      <rPr>
        <b/>
        <sz val="11"/>
        <color rgb="FF242424"/>
        <rFont val="Aptos Narrow"/>
      </rPr>
      <t>CLEAN()</t>
    </r>
    <r>
      <rPr>
        <sz val="11"/>
        <color rgb="FF242424"/>
        <rFont val="Aptos Narrow"/>
      </rPr>
      <t xml:space="preserve"> &amp; </t>
    </r>
    <r>
      <rPr>
        <b/>
        <sz val="11"/>
        <color rgb="FF242424"/>
        <rFont val="Aptos Narrow"/>
      </rPr>
      <t>TRIM()</t>
    </r>
    <r>
      <rPr>
        <sz val="11"/>
        <color rgb="FF242424"/>
        <rFont val="Aptos Narrow"/>
      </rPr>
      <t xml:space="preserve"> unwanted characters were removed and formatted to </t>
    </r>
    <r>
      <rPr>
        <b/>
        <sz val="11"/>
        <color rgb="FF242424"/>
        <rFont val="Aptos Narrow"/>
      </rPr>
      <t>Text</t>
    </r>
    <r>
      <rPr>
        <sz val="11"/>
        <color rgb="FF242424"/>
        <rFont val="Aptos Narrow"/>
      </rPr>
      <t xml:space="preserve"> data type.</t>
    </r>
  </si>
  <si>
    <t>NOTE : CLEAN() and TRIM() were applied across all columns while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</si>
</sst>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[$$-409]* #,##0_ ;_-[$$-409]* \-#,##0\ ;_-[$$-409]* &quot;-&quot;??_ ;_-@_ "/>
    <numFmt numFmtId="165" formatCode="_ &quot;₹&quot;\ * #,##0_ ;_ &quot;₹&quot;\ * \-#,##0_ ;_ &quot;₹&quot;\ * &quot;-&quot;??_ ;_ @_ "/>
    <numFmt numFmtId="166" formatCode="_([$$-409]* #,##0_);_([$$-409]* \(#,##0\);_([$$-409]* &quot;-&quot;??_);_(@_)"/>
  </numFmts>
  <fonts count="13">
    <font>
      <sz val="11"/>
      <color theme="1"/>
      <name val="Calibri"/>
      <family val="2"/>
      <scheme val="minor"/>
    </font>
    <font>
      <b/>
      <sz val="12"/>
      <color theme="1" tint="4.9989318521683403E-2"/>
      <name val="Aptos Narrow"/>
      <family val="2"/>
      <scheme val="minor"/>
    </font>
    <font>
      <sz val="14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242424"/>
      <name val="Aptos Narrow"/>
    </font>
    <font>
      <b/>
      <sz val="11"/>
      <color rgb="FF242424"/>
      <name val="Aptos Narrow"/>
    </font>
    <font>
      <sz val="11"/>
      <color rgb="FF000000"/>
      <name val="Calibri"/>
    </font>
    <font>
      <b/>
      <sz val="11"/>
      <color rgb="FF000000"/>
      <name val="Calibri"/>
    </font>
    <font>
      <b/>
      <sz val="14"/>
      <color rgb="FF000000"/>
      <name val="Calibri"/>
      <scheme val="minor"/>
    </font>
    <font>
      <b/>
      <sz val="14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 style="thin">
        <color theme="2" tint="-0.749992370372631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2" tint="-0.749992370372631"/>
      </right>
      <top style="thin">
        <color theme="1" tint="0.34998626667073579"/>
      </top>
      <bottom/>
      <diagonal/>
    </border>
    <border>
      <left style="thin">
        <color theme="2" tint="-0.749992370372631"/>
      </left>
      <right/>
      <top style="thin">
        <color theme="1" tint="0.34998626667073579"/>
      </top>
      <bottom style="thin">
        <color theme="2" tint="-0.749992370372631"/>
      </bottom>
      <diagonal/>
    </border>
    <border>
      <left/>
      <right/>
      <top style="thin">
        <color theme="1" tint="0.34998626667073579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1" tint="0.34998626667073579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/>
      <right/>
      <top/>
      <bottom style="thin">
        <color theme="2" tint="-0.74999237037263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000000"/>
      </left>
      <right/>
      <top style="thin">
        <color theme="2" tint="-0.749992370372631"/>
      </top>
      <bottom style="thin">
        <color theme="2" tint="-0.749992370372631"/>
      </bottom>
      <diagonal/>
    </border>
  </borders>
  <cellStyleXfs count="2">
    <xf numFmtId="0" fontId="0" fillId="0" borderId="0"/>
    <xf numFmtId="0" fontId="4" fillId="3" borderId="11" applyNumberFormat="0" applyFont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2" xfId="0" applyBorder="1"/>
    <xf numFmtId="164" fontId="0" fillId="0" borderId="2" xfId="0" applyNumberFormat="1" applyBorder="1" applyAlignment="1">
      <alignment horizontal="right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5" xfId="0" applyNumberFormat="1" applyBorder="1" applyAlignment="1">
      <alignment horizontal="right"/>
    </xf>
    <xf numFmtId="14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49" fontId="1" fillId="2" borderId="7" xfId="0" applyNumberFormat="1" applyFont="1" applyFill="1" applyBorder="1" applyAlignment="1">
      <alignment horizontal="center" vertical="center" wrapText="1"/>
    </xf>
    <xf numFmtId="165" fontId="1" fillId="2" borderId="8" xfId="0" applyNumberFormat="1" applyFont="1" applyFill="1" applyBorder="1" applyAlignment="1">
      <alignment horizontal="center" vertical="center" wrapText="1"/>
    </xf>
    <xf numFmtId="14" fontId="1" fillId="2" borderId="8" xfId="0" applyNumberFormat="1" applyFont="1" applyFill="1" applyBorder="1" applyAlignment="1">
      <alignment horizontal="center" vertical="center" wrapText="1"/>
    </xf>
    <xf numFmtId="2" fontId="1" fillId="2" borderId="8" xfId="0" applyNumberFormat="1" applyFont="1" applyFill="1" applyBorder="1" applyAlignment="1">
      <alignment horizontal="center" vertical="center" wrapText="1"/>
    </xf>
    <xf numFmtId="49" fontId="1" fillId="2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166" fontId="1" fillId="2" borderId="8" xfId="0" applyNumberFormat="1" applyFont="1" applyFill="1" applyBorder="1" applyAlignment="1">
      <alignment horizontal="center" vertical="center" wrapText="1"/>
    </xf>
    <xf numFmtId="166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/>
    </xf>
    <xf numFmtId="0" fontId="0" fillId="0" borderId="0" xfId="0" applyAlignment="1"/>
    <xf numFmtId="49" fontId="1" fillId="2" borderId="8" xfId="0" applyNumberFormat="1" applyFont="1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49" fontId="1" fillId="2" borderId="8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9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>
      <alignment horizontal="left"/>
    </xf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wrapText="1"/>
    </xf>
    <xf numFmtId="2" fontId="0" fillId="0" borderId="0" xfId="0" applyNumberFormat="1"/>
    <xf numFmtId="0" fontId="7" fillId="0" borderId="0" xfId="0" applyFont="1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3" borderId="11" xfId="1" applyFont="1" applyAlignment="1">
      <alignment horizontal="right"/>
    </xf>
    <xf numFmtId="49" fontId="1" fillId="2" borderId="9" xfId="0" applyNumberFormat="1" applyFont="1" applyFill="1" applyBorder="1" applyAlignment="1">
      <alignment horizontal="center" vertical="center" wrapText="1"/>
    </xf>
    <xf numFmtId="49" fontId="1" fillId="2" borderId="12" xfId="0" applyNumberFormat="1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emiga Madhaiyan" id="{0AA2160F-850C-45F9-B640-D2D20574D79B}" userId="11d5d6e50b622f3a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1-05T10:51:26.51" personId="{0AA2160F-850C-45F9-B640-D2D20574D79B}" id="{C4C75E27-24DB-4B67-BA7A-BBB68AA673BD}">
    <text>Day 4 daily challenge dataset is taken as a raw dataset for day5 challenge.
TASK: Clean &amp; Format text columns by using LEFT(), RIGHT(),MID(), UPPER(), LOWERR(), PROPER().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9A36A-F458-4F4D-BB30-34FAE15B8D4D}">
  <dimension ref="A1:I152"/>
  <sheetViews>
    <sheetView workbookViewId="0">
      <selection activeCell="I2" sqref="I2"/>
    </sheetView>
  </sheetViews>
  <sheetFormatPr defaultRowHeight="15"/>
  <cols>
    <col min="1" max="1" width="12.42578125" customWidth="1"/>
    <col min="2" max="2" width="13.7109375" customWidth="1"/>
    <col min="3" max="3" width="12.7109375" customWidth="1"/>
    <col min="4" max="4" width="9.85546875" bestFit="1" customWidth="1"/>
    <col min="6" max="6" width="14.28515625" customWidth="1"/>
    <col min="7" max="7" width="14" customWidth="1"/>
    <col min="8" max="8" width="11.85546875" customWidth="1"/>
    <col min="9" max="9" width="25" customWidth="1"/>
    <col min="11" max="11" width="18.28515625" customWidth="1"/>
    <col min="12" max="12" width="7.28515625" customWidth="1"/>
    <col min="13" max="13" width="6.85546875" customWidth="1"/>
    <col min="14" max="14" width="6.28515625" customWidth="1"/>
    <col min="15" max="15" width="8.42578125" customWidth="1"/>
    <col min="16" max="16" width="9.28515625" customWidth="1"/>
    <col min="17" max="17" width="9.140625" customWidth="1"/>
    <col min="18" max="18" width="6.140625" customWidth="1"/>
    <col min="19" max="19" width="13.140625" customWidth="1"/>
    <col min="20" max="20" width="13.42578125" customWidth="1"/>
    <col min="21" max="21" width="11.7109375" customWidth="1"/>
    <col min="22" max="22" width="11.28515625" customWidth="1"/>
    <col min="23" max="23" width="10.28515625" customWidth="1"/>
    <col min="24" max="24" width="11.85546875" customWidth="1"/>
    <col min="25" max="25" width="16.140625" customWidth="1"/>
    <col min="26" max="26" width="9.85546875" bestFit="1" customWidth="1"/>
    <col min="27" max="27" width="11" customWidth="1"/>
    <col min="28" max="28" width="15.28515625" customWidth="1"/>
  </cols>
  <sheetData>
    <row r="1" spans="1:9" ht="26.2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</row>
    <row r="2" spans="1:9" ht="30.75" customHeight="1">
      <c r="A2" s="13" t="s">
        <v>1</v>
      </c>
      <c r="B2" s="24" t="s">
        <v>2</v>
      </c>
      <c r="C2" s="24" t="s">
        <v>3</v>
      </c>
      <c r="D2" s="24" t="s">
        <v>4</v>
      </c>
      <c r="E2" s="14" t="s">
        <v>5</v>
      </c>
      <c r="F2" s="15" t="s">
        <v>6</v>
      </c>
      <c r="G2" s="16" t="s">
        <v>7</v>
      </c>
      <c r="H2" s="24" t="s">
        <v>8</v>
      </c>
      <c r="I2" s="17" t="s">
        <v>9</v>
      </c>
    </row>
    <row r="3" spans="1:9" ht="15" customHeight="1">
      <c r="A3" s="1" t="s">
        <v>10</v>
      </c>
      <c r="B3" s="2" t="s">
        <v>11</v>
      </c>
      <c r="C3" s="2" t="s">
        <v>12</v>
      </c>
      <c r="D3" s="2" t="s">
        <v>11</v>
      </c>
      <c r="E3" s="3" t="s">
        <v>13</v>
      </c>
      <c r="F3" s="4" t="s">
        <v>11</v>
      </c>
      <c r="G3" s="5">
        <v>2</v>
      </c>
      <c r="H3" s="2" t="s">
        <v>14</v>
      </c>
      <c r="I3" s="6" t="s">
        <v>15</v>
      </c>
    </row>
    <row r="4" spans="1:9" ht="15.75" customHeight="1">
      <c r="A4" s="1" t="s">
        <v>16</v>
      </c>
      <c r="B4" s="2" t="s">
        <v>17</v>
      </c>
      <c r="C4" s="2" t="s">
        <v>18</v>
      </c>
      <c r="D4" s="2" t="s">
        <v>19</v>
      </c>
      <c r="E4" s="3">
        <v>54255</v>
      </c>
      <c r="F4" s="4">
        <v>42015</v>
      </c>
      <c r="G4" s="5">
        <v>1</v>
      </c>
      <c r="H4" s="2" t="s">
        <v>20</v>
      </c>
      <c r="I4" s="6" t="s">
        <v>21</v>
      </c>
    </row>
    <row r="5" spans="1:9" ht="16.5" customHeight="1">
      <c r="A5" s="1" t="s">
        <v>22</v>
      </c>
      <c r="B5" s="2" t="s">
        <v>23</v>
      </c>
      <c r="C5" s="2" t="s">
        <v>12</v>
      </c>
      <c r="D5" s="2" t="s">
        <v>19</v>
      </c>
      <c r="E5" s="3">
        <v>63184</v>
      </c>
      <c r="F5" s="4">
        <v>42022</v>
      </c>
      <c r="G5" s="5">
        <v>2</v>
      </c>
      <c r="H5" s="2" t="s">
        <v>11</v>
      </c>
      <c r="I5" s="6" t="s">
        <v>24</v>
      </c>
    </row>
    <row r="6" spans="1:9">
      <c r="A6" s="1" t="s">
        <v>25</v>
      </c>
      <c r="B6" s="2" t="s">
        <v>26</v>
      </c>
      <c r="C6" s="2" t="s">
        <v>27</v>
      </c>
      <c r="D6" s="2" t="s">
        <v>28</v>
      </c>
      <c r="E6" s="3">
        <v>94406</v>
      </c>
      <c r="F6" s="4">
        <v>42029</v>
      </c>
      <c r="G6" s="5">
        <v>1</v>
      </c>
      <c r="H6" s="2" t="s">
        <v>29</v>
      </c>
      <c r="I6" s="6" t="s">
        <v>30</v>
      </c>
    </row>
    <row r="7" spans="1:9">
      <c r="A7" s="1" t="s">
        <v>31</v>
      </c>
      <c r="B7" s="2" t="s">
        <v>32</v>
      </c>
      <c r="C7" s="2" t="s">
        <v>27</v>
      </c>
      <c r="D7" s="2" t="s">
        <v>19</v>
      </c>
      <c r="E7" s="3">
        <v>64120</v>
      </c>
      <c r="F7" s="4">
        <v>42036</v>
      </c>
      <c r="G7" s="5">
        <v>1</v>
      </c>
      <c r="H7" s="2" t="s">
        <v>29</v>
      </c>
      <c r="I7" s="6" t="s">
        <v>33</v>
      </c>
    </row>
    <row r="8" spans="1:9">
      <c r="A8" s="1" t="s">
        <v>34</v>
      </c>
      <c r="B8" s="2" t="s">
        <v>23</v>
      </c>
      <c r="C8" s="2" t="s">
        <v>35</v>
      </c>
      <c r="D8" s="2" t="s">
        <v>36</v>
      </c>
      <c r="E8" s="3">
        <v>78421</v>
      </c>
      <c r="F8" s="4">
        <v>42043</v>
      </c>
      <c r="G8" s="5">
        <v>2</v>
      </c>
      <c r="H8" s="2" t="s">
        <v>37</v>
      </c>
      <c r="I8" s="6" t="s">
        <v>38</v>
      </c>
    </row>
    <row r="9" spans="1:9">
      <c r="A9" s="1" t="s">
        <v>39</v>
      </c>
      <c r="B9" s="2" t="s">
        <v>40</v>
      </c>
      <c r="C9" s="2" t="s">
        <v>27</v>
      </c>
      <c r="D9" s="2" t="s">
        <v>11</v>
      </c>
      <c r="E9" s="3">
        <v>67721</v>
      </c>
      <c r="F9" s="4">
        <v>42050</v>
      </c>
      <c r="G9" s="5" t="s">
        <v>41</v>
      </c>
      <c r="H9" s="2" t="s">
        <v>29</v>
      </c>
      <c r="I9" s="6" t="s">
        <v>30</v>
      </c>
    </row>
    <row r="10" spans="1:9">
      <c r="A10" s="1" t="s">
        <v>42</v>
      </c>
      <c r="B10" s="2" t="s">
        <v>43</v>
      </c>
      <c r="C10" s="2" t="s">
        <v>44</v>
      </c>
      <c r="D10" s="2" t="s">
        <v>11</v>
      </c>
      <c r="E10" s="3">
        <v>35364</v>
      </c>
      <c r="F10" s="4">
        <v>42057</v>
      </c>
      <c r="G10" s="5">
        <v>2</v>
      </c>
      <c r="H10" s="2" t="s">
        <v>20</v>
      </c>
      <c r="I10" s="6" t="s">
        <v>45</v>
      </c>
    </row>
    <row r="11" spans="1:9" ht="15" customHeight="1">
      <c r="A11" s="1" t="s">
        <v>46</v>
      </c>
      <c r="B11" s="2" t="s">
        <v>23</v>
      </c>
      <c r="C11" s="2" t="s">
        <v>35</v>
      </c>
      <c r="D11" s="2" t="s">
        <v>19</v>
      </c>
      <c r="E11" s="3">
        <v>97881</v>
      </c>
      <c r="F11" s="4">
        <v>42064</v>
      </c>
      <c r="G11" s="5" t="s">
        <v>41</v>
      </c>
      <c r="H11" s="2" t="s">
        <v>37</v>
      </c>
      <c r="I11" s="6" t="s">
        <v>47</v>
      </c>
    </row>
    <row r="12" spans="1:9">
      <c r="A12" s="1" t="s">
        <v>48</v>
      </c>
      <c r="B12" s="2" t="s">
        <v>43</v>
      </c>
      <c r="C12" s="2" t="s">
        <v>18</v>
      </c>
      <c r="D12" s="2" t="s">
        <v>49</v>
      </c>
      <c r="E12" s="3">
        <v>91846</v>
      </c>
      <c r="F12" s="4">
        <v>42071</v>
      </c>
      <c r="G12" s="5" t="s">
        <v>41</v>
      </c>
      <c r="H12" s="2" t="s">
        <v>29</v>
      </c>
      <c r="I12" s="6" t="s">
        <v>50</v>
      </c>
    </row>
    <row r="13" spans="1:9">
      <c r="A13" s="1" t="s">
        <v>51</v>
      </c>
      <c r="B13" s="2" t="s">
        <v>40</v>
      </c>
      <c r="C13" s="2" t="s">
        <v>12</v>
      </c>
      <c r="D13" s="2" t="s">
        <v>49</v>
      </c>
      <c r="E13" s="3">
        <v>64247</v>
      </c>
      <c r="F13" s="4">
        <v>42078</v>
      </c>
      <c r="G13" s="5">
        <v>1</v>
      </c>
      <c r="H13" s="2" t="s">
        <v>37</v>
      </c>
      <c r="I13" s="6" t="s">
        <v>52</v>
      </c>
    </row>
    <row r="14" spans="1:9">
      <c r="A14" s="1" t="s">
        <v>53</v>
      </c>
      <c r="B14" s="2" t="s">
        <v>40</v>
      </c>
      <c r="C14" s="2" t="s">
        <v>35</v>
      </c>
      <c r="D14" s="2" t="s">
        <v>28</v>
      </c>
      <c r="E14" s="3">
        <v>91180</v>
      </c>
      <c r="F14" s="4">
        <v>42085</v>
      </c>
      <c r="G14" s="5">
        <v>5</v>
      </c>
      <c r="H14" s="2" t="s">
        <v>29</v>
      </c>
      <c r="I14" s="6" t="s">
        <v>54</v>
      </c>
    </row>
    <row r="15" spans="1:9" ht="15.75" customHeight="1">
      <c r="A15" s="1" t="s">
        <v>55</v>
      </c>
      <c r="B15" s="2" t="s">
        <v>56</v>
      </c>
      <c r="C15" s="2" t="s">
        <v>27</v>
      </c>
      <c r="D15" s="2" t="s">
        <v>11</v>
      </c>
      <c r="E15" s="3">
        <v>96418</v>
      </c>
      <c r="F15" s="4">
        <v>42092</v>
      </c>
      <c r="G15" s="5">
        <v>5</v>
      </c>
      <c r="H15" s="2" t="s">
        <v>29</v>
      </c>
      <c r="I15" s="6" t="s">
        <v>21</v>
      </c>
    </row>
    <row r="16" spans="1:9" ht="15" customHeight="1">
      <c r="A16" s="1" t="s">
        <v>57</v>
      </c>
      <c r="B16" s="2" t="s">
        <v>40</v>
      </c>
      <c r="C16" s="2" t="s">
        <v>11</v>
      </c>
      <c r="D16" s="2" t="s">
        <v>36</v>
      </c>
      <c r="E16" s="3">
        <v>62158</v>
      </c>
      <c r="F16" s="4">
        <v>42099</v>
      </c>
      <c r="G16" s="5">
        <v>4</v>
      </c>
      <c r="H16" s="2" t="s">
        <v>11</v>
      </c>
      <c r="I16" s="6" t="s">
        <v>58</v>
      </c>
    </row>
    <row r="17" spans="1:9">
      <c r="A17" s="1" t="s">
        <v>59</v>
      </c>
      <c r="B17" s="2" t="s">
        <v>32</v>
      </c>
      <c r="C17" s="2" t="s">
        <v>18</v>
      </c>
      <c r="D17" s="2" t="s">
        <v>11</v>
      </c>
      <c r="E17" s="3">
        <v>59894</v>
      </c>
      <c r="F17" s="4">
        <v>42106</v>
      </c>
      <c r="G17" s="5">
        <v>2</v>
      </c>
      <c r="H17" s="2" t="s">
        <v>29</v>
      </c>
      <c r="I17" s="6" t="s">
        <v>60</v>
      </c>
    </row>
    <row r="18" spans="1:9" ht="15.75" customHeight="1">
      <c r="A18" s="1" t="s">
        <v>61</v>
      </c>
      <c r="B18" s="2" t="s">
        <v>11</v>
      </c>
      <c r="C18" s="2" t="s">
        <v>35</v>
      </c>
      <c r="D18" s="2" t="s">
        <v>36</v>
      </c>
      <c r="E18" s="3">
        <v>92443</v>
      </c>
      <c r="F18" s="4">
        <v>42113</v>
      </c>
      <c r="G18" s="5">
        <v>3</v>
      </c>
      <c r="H18" s="2" t="s">
        <v>20</v>
      </c>
      <c r="I18" s="6" t="s">
        <v>62</v>
      </c>
    </row>
    <row r="19" spans="1:9">
      <c r="A19" s="1" t="s">
        <v>63</v>
      </c>
      <c r="B19" s="2" t="s">
        <v>56</v>
      </c>
      <c r="C19" s="2" t="s">
        <v>11</v>
      </c>
      <c r="D19" s="2" t="s">
        <v>19</v>
      </c>
      <c r="E19" s="3">
        <v>90271</v>
      </c>
      <c r="F19" s="4">
        <v>42120</v>
      </c>
      <c r="G19" s="5" t="s">
        <v>41</v>
      </c>
      <c r="H19" s="2" t="s">
        <v>11</v>
      </c>
      <c r="I19" s="6" t="s">
        <v>64</v>
      </c>
    </row>
    <row r="20" spans="1:9">
      <c r="A20" s="1" t="s">
        <v>65</v>
      </c>
      <c r="B20" s="2" t="s">
        <v>32</v>
      </c>
      <c r="C20" s="2" t="s">
        <v>12</v>
      </c>
      <c r="D20" s="2" t="s">
        <v>66</v>
      </c>
      <c r="E20" s="3">
        <v>41341</v>
      </c>
      <c r="F20" s="4">
        <v>42127</v>
      </c>
      <c r="G20" s="5">
        <v>1</v>
      </c>
      <c r="H20" s="2" t="s">
        <v>20</v>
      </c>
      <c r="I20" s="6" t="s">
        <v>67</v>
      </c>
    </row>
    <row r="21" spans="1:9">
      <c r="A21" s="1" t="s">
        <v>68</v>
      </c>
      <c r="B21" s="2" t="s">
        <v>23</v>
      </c>
      <c r="C21" s="2" t="s">
        <v>12</v>
      </c>
      <c r="D21" s="2" t="s">
        <v>49</v>
      </c>
      <c r="E21" s="3">
        <v>73602</v>
      </c>
      <c r="F21" s="4">
        <v>42134</v>
      </c>
      <c r="G21" s="5" t="s">
        <v>41</v>
      </c>
      <c r="H21" s="2" t="s">
        <v>11</v>
      </c>
      <c r="I21" s="6" t="s">
        <v>69</v>
      </c>
    </row>
    <row r="22" spans="1:9">
      <c r="A22" s="1" t="s">
        <v>70</v>
      </c>
      <c r="B22" s="2" t="s">
        <v>17</v>
      </c>
      <c r="C22" s="2" t="s">
        <v>11</v>
      </c>
      <c r="D22" s="2" t="s">
        <v>36</v>
      </c>
      <c r="E22" s="3">
        <v>67531</v>
      </c>
      <c r="F22" s="4">
        <v>42141</v>
      </c>
      <c r="G22" s="5">
        <v>5</v>
      </c>
      <c r="H22" s="2" t="s">
        <v>37</v>
      </c>
      <c r="I22" s="6" t="s">
        <v>71</v>
      </c>
    </row>
    <row r="23" spans="1:9">
      <c r="A23" s="1" t="s">
        <v>72</v>
      </c>
      <c r="B23" s="2" t="s">
        <v>32</v>
      </c>
      <c r="C23" s="2" t="s">
        <v>18</v>
      </c>
      <c r="D23" s="2" t="s">
        <v>28</v>
      </c>
      <c r="E23" s="3" t="s">
        <v>13</v>
      </c>
      <c r="F23" s="4">
        <v>42148</v>
      </c>
      <c r="G23" s="5">
        <v>2</v>
      </c>
      <c r="H23" s="2" t="s">
        <v>20</v>
      </c>
      <c r="I23" s="6" t="s">
        <v>73</v>
      </c>
    </row>
    <row r="24" spans="1:9">
      <c r="A24" s="1" t="s">
        <v>74</v>
      </c>
      <c r="B24" s="2" t="s">
        <v>32</v>
      </c>
      <c r="C24" s="2" t="s">
        <v>18</v>
      </c>
      <c r="D24" s="2" t="s">
        <v>11</v>
      </c>
      <c r="E24" s="3">
        <v>98922</v>
      </c>
      <c r="F24" s="4">
        <v>42155</v>
      </c>
      <c r="G24" s="5">
        <v>4</v>
      </c>
      <c r="H24" s="2" t="s">
        <v>11</v>
      </c>
      <c r="I24" s="6" t="s">
        <v>75</v>
      </c>
    </row>
    <row r="25" spans="1:9">
      <c r="A25" s="1" t="s">
        <v>76</v>
      </c>
      <c r="B25" s="2" t="s">
        <v>17</v>
      </c>
      <c r="C25" s="2" t="s">
        <v>12</v>
      </c>
      <c r="D25" s="2" t="s">
        <v>36</v>
      </c>
      <c r="E25" s="3">
        <v>38333</v>
      </c>
      <c r="F25" s="4">
        <v>42162</v>
      </c>
      <c r="G25" s="5">
        <v>5</v>
      </c>
      <c r="H25" s="2" t="s">
        <v>11</v>
      </c>
      <c r="I25" s="6" t="s">
        <v>77</v>
      </c>
    </row>
    <row r="26" spans="1:9">
      <c r="A26" s="1" t="s">
        <v>78</v>
      </c>
      <c r="B26" s="2" t="s">
        <v>23</v>
      </c>
      <c r="C26" s="2" t="s">
        <v>44</v>
      </c>
      <c r="D26" s="2" t="s">
        <v>49</v>
      </c>
      <c r="E26" s="3">
        <v>36515</v>
      </c>
      <c r="F26" s="4">
        <v>42169</v>
      </c>
      <c r="G26" s="5">
        <v>3</v>
      </c>
      <c r="H26" s="2" t="s">
        <v>29</v>
      </c>
      <c r="I26" s="6" t="s">
        <v>79</v>
      </c>
    </row>
    <row r="27" spans="1:9">
      <c r="A27" s="1" t="s">
        <v>80</v>
      </c>
      <c r="B27" s="2" t="s">
        <v>40</v>
      </c>
      <c r="C27" s="2" t="s">
        <v>12</v>
      </c>
      <c r="D27" s="2" t="s">
        <v>11</v>
      </c>
      <c r="E27" s="3">
        <v>91005</v>
      </c>
      <c r="F27" s="4">
        <v>42176</v>
      </c>
      <c r="G27" s="5">
        <v>1</v>
      </c>
      <c r="H27" s="2" t="s">
        <v>20</v>
      </c>
      <c r="I27" s="6" t="s">
        <v>81</v>
      </c>
    </row>
    <row r="28" spans="1:9">
      <c r="A28" s="1" t="s">
        <v>82</v>
      </c>
      <c r="B28" s="2" t="s">
        <v>43</v>
      </c>
      <c r="C28" s="2" t="s">
        <v>11</v>
      </c>
      <c r="D28" s="2" t="s">
        <v>11</v>
      </c>
      <c r="E28" s="3">
        <v>52272</v>
      </c>
      <c r="F28" s="4">
        <v>42183</v>
      </c>
      <c r="G28" s="5">
        <v>3</v>
      </c>
      <c r="H28" s="2" t="s">
        <v>11</v>
      </c>
      <c r="I28" s="6" t="s">
        <v>83</v>
      </c>
    </row>
    <row r="29" spans="1:9">
      <c r="A29" s="1" t="s">
        <v>84</v>
      </c>
      <c r="B29" s="2" t="s">
        <v>17</v>
      </c>
      <c r="C29" s="2" t="s">
        <v>27</v>
      </c>
      <c r="D29" s="2" t="s">
        <v>19</v>
      </c>
      <c r="E29" s="3">
        <v>76518</v>
      </c>
      <c r="F29" s="4">
        <v>42190</v>
      </c>
      <c r="G29" s="5">
        <v>2</v>
      </c>
      <c r="H29" s="2" t="s">
        <v>37</v>
      </c>
      <c r="I29" s="6" t="s">
        <v>85</v>
      </c>
    </row>
    <row r="30" spans="1:9">
      <c r="A30" s="1" t="s">
        <v>86</v>
      </c>
      <c r="B30" s="2" t="s">
        <v>23</v>
      </c>
      <c r="C30" s="2" t="s">
        <v>35</v>
      </c>
      <c r="D30" s="2" t="s">
        <v>49</v>
      </c>
      <c r="E30" s="3">
        <v>41448</v>
      </c>
      <c r="F30" s="4">
        <v>42197</v>
      </c>
      <c r="G30" s="5">
        <v>3</v>
      </c>
      <c r="H30" s="2" t="s">
        <v>20</v>
      </c>
      <c r="I30" s="6" t="s">
        <v>87</v>
      </c>
    </row>
    <row r="31" spans="1:9">
      <c r="A31" s="1" t="s">
        <v>88</v>
      </c>
      <c r="B31" s="2" t="s">
        <v>26</v>
      </c>
      <c r="C31" s="2" t="s">
        <v>18</v>
      </c>
      <c r="D31" s="2" t="s">
        <v>49</v>
      </c>
      <c r="E31" s="3">
        <v>49282</v>
      </c>
      <c r="F31" s="4">
        <v>42204</v>
      </c>
      <c r="G31" s="5">
        <v>2</v>
      </c>
      <c r="H31" s="2" t="s">
        <v>37</v>
      </c>
      <c r="I31" s="6" t="s">
        <v>89</v>
      </c>
    </row>
    <row r="32" spans="1:9">
      <c r="A32" s="1" t="s">
        <v>90</v>
      </c>
      <c r="B32" s="2" t="s">
        <v>56</v>
      </c>
      <c r="C32" s="2" t="s">
        <v>44</v>
      </c>
      <c r="D32" s="2" t="s">
        <v>49</v>
      </c>
      <c r="E32" s="3">
        <v>92959</v>
      </c>
      <c r="F32" s="4">
        <v>42211</v>
      </c>
      <c r="G32" s="5">
        <v>5</v>
      </c>
      <c r="H32" s="2" t="s">
        <v>11</v>
      </c>
      <c r="I32" s="6" t="s">
        <v>91</v>
      </c>
    </row>
    <row r="33" spans="1:9">
      <c r="A33" s="1" t="s">
        <v>92</v>
      </c>
      <c r="B33" s="2" t="s">
        <v>11</v>
      </c>
      <c r="C33" s="2" t="s">
        <v>44</v>
      </c>
      <c r="D33" s="2" t="s">
        <v>11</v>
      </c>
      <c r="E33" s="3">
        <v>92259</v>
      </c>
      <c r="F33" s="4" t="s">
        <v>11</v>
      </c>
      <c r="G33" s="5">
        <v>1</v>
      </c>
      <c r="H33" s="2" t="s">
        <v>14</v>
      </c>
      <c r="I33" s="6" t="s">
        <v>93</v>
      </c>
    </row>
    <row r="34" spans="1:9">
      <c r="A34" s="1" t="s">
        <v>94</v>
      </c>
      <c r="B34" s="2" t="s">
        <v>17</v>
      </c>
      <c r="C34" s="2" t="s">
        <v>18</v>
      </c>
      <c r="D34" s="2" t="s">
        <v>19</v>
      </c>
      <c r="E34" s="3">
        <v>92299</v>
      </c>
      <c r="F34" s="4">
        <v>42225</v>
      </c>
      <c r="G34" s="5">
        <v>3</v>
      </c>
      <c r="H34" s="2" t="s">
        <v>29</v>
      </c>
      <c r="I34" s="6" t="s">
        <v>95</v>
      </c>
    </row>
    <row r="35" spans="1:9">
      <c r="A35" s="1" t="s">
        <v>96</v>
      </c>
      <c r="B35" s="2" t="s">
        <v>40</v>
      </c>
      <c r="C35" s="2" t="s">
        <v>18</v>
      </c>
      <c r="D35" s="2" t="s">
        <v>11</v>
      </c>
      <c r="E35" s="3">
        <v>95586</v>
      </c>
      <c r="F35" s="4">
        <v>42232</v>
      </c>
      <c r="G35" s="5">
        <v>3</v>
      </c>
      <c r="H35" s="2" t="s">
        <v>20</v>
      </c>
      <c r="I35" s="6" t="s">
        <v>97</v>
      </c>
    </row>
    <row r="36" spans="1:9">
      <c r="A36" s="1" t="s">
        <v>98</v>
      </c>
      <c r="B36" s="2" t="s">
        <v>43</v>
      </c>
      <c r="C36" s="2" t="s">
        <v>11</v>
      </c>
      <c r="D36" s="2" t="s">
        <v>28</v>
      </c>
      <c r="E36" s="3">
        <v>95367</v>
      </c>
      <c r="F36" s="4">
        <v>42239</v>
      </c>
      <c r="G36" s="5" t="s">
        <v>41</v>
      </c>
      <c r="H36" s="2" t="s">
        <v>29</v>
      </c>
      <c r="I36" s="6" t="s">
        <v>99</v>
      </c>
    </row>
    <row r="37" spans="1:9">
      <c r="A37" s="1" t="s">
        <v>100</v>
      </c>
      <c r="B37" s="2" t="s">
        <v>26</v>
      </c>
      <c r="C37" s="2" t="s">
        <v>27</v>
      </c>
      <c r="D37" s="2" t="s">
        <v>66</v>
      </c>
      <c r="E37" s="3">
        <v>79549</v>
      </c>
      <c r="F37" s="4">
        <v>42246</v>
      </c>
      <c r="G37" s="5">
        <v>3</v>
      </c>
      <c r="H37" s="2" t="s">
        <v>11</v>
      </c>
      <c r="I37" s="6" t="s">
        <v>101</v>
      </c>
    </row>
    <row r="38" spans="1:9">
      <c r="A38" s="1" t="s">
        <v>102</v>
      </c>
      <c r="B38" s="2" t="s">
        <v>23</v>
      </c>
      <c r="C38" s="2" t="s">
        <v>11</v>
      </c>
      <c r="D38" s="2" t="s">
        <v>49</v>
      </c>
      <c r="E38" s="3">
        <v>54463</v>
      </c>
      <c r="F38" s="4">
        <v>42253</v>
      </c>
      <c r="G38" s="5">
        <v>4</v>
      </c>
      <c r="H38" s="2" t="s">
        <v>29</v>
      </c>
      <c r="I38" s="6" t="s">
        <v>15</v>
      </c>
    </row>
    <row r="39" spans="1:9">
      <c r="A39" s="1" t="s">
        <v>103</v>
      </c>
      <c r="B39" s="2" t="s">
        <v>23</v>
      </c>
      <c r="C39" s="2" t="s">
        <v>35</v>
      </c>
      <c r="D39" s="2" t="s">
        <v>28</v>
      </c>
      <c r="E39" s="3">
        <v>89781</v>
      </c>
      <c r="F39" s="4">
        <v>42260</v>
      </c>
      <c r="G39" s="5" t="s">
        <v>41</v>
      </c>
      <c r="H39" s="2" t="s">
        <v>37</v>
      </c>
      <c r="I39" s="6" t="s">
        <v>104</v>
      </c>
    </row>
    <row r="40" spans="1:9">
      <c r="A40" s="1" t="s">
        <v>105</v>
      </c>
      <c r="B40" s="2" t="s">
        <v>23</v>
      </c>
      <c r="C40" s="2" t="s">
        <v>18</v>
      </c>
      <c r="D40" s="2" t="s">
        <v>11</v>
      </c>
      <c r="E40" s="3">
        <v>64796</v>
      </c>
      <c r="F40" s="4">
        <v>42267</v>
      </c>
      <c r="G40" s="5" t="s">
        <v>41</v>
      </c>
      <c r="H40" s="2" t="s">
        <v>20</v>
      </c>
      <c r="I40" s="6" t="s">
        <v>106</v>
      </c>
    </row>
    <row r="41" spans="1:9">
      <c r="A41" s="1" t="s">
        <v>107</v>
      </c>
      <c r="B41" s="2" t="s">
        <v>26</v>
      </c>
      <c r="C41" s="2" t="s">
        <v>44</v>
      </c>
      <c r="D41" s="2" t="s">
        <v>49</v>
      </c>
      <c r="E41" s="3">
        <v>52093</v>
      </c>
      <c r="F41" s="4">
        <v>42274</v>
      </c>
      <c r="G41" s="5">
        <v>5</v>
      </c>
      <c r="H41" s="2" t="s">
        <v>11</v>
      </c>
      <c r="I41" s="6" t="s">
        <v>108</v>
      </c>
    </row>
    <row r="42" spans="1:9">
      <c r="A42" s="1" t="s">
        <v>109</v>
      </c>
      <c r="B42" s="2" t="s">
        <v>43</v>
      </c>
      <c r="C42" s="2" t="s">
        <v>18</v>
      </c>
      <c r="D42" s="2" t="s">
        <v>49</v>
      </c>
      <c r="E42" s="3">
        <v>48224</v>
      </c>
      <c r="F42" s="4">
        <v>42281</v>
      </c>
      <c r="G42" s="5">
        <v>3</v>
      </c>
      <c r="H42" s="2" t="s">
        <v>11</v>
      </c>
      <c r="I42" s="6" t="s">
        <v>110</v>
      </c>
    </row>
    <row r="43" spans="1:9">
      <c r="A43" s="1" t="s">
        <v>111</v>
      </c>
      <c r="B43" s="2" t="s">
        <v>56</v>
      </c>
      <c r="C43" s="2" t="s">
        <v>12</v>
      </c>
      <c r="D43" s="2" t="s">
        <v>49</v>
      </c>
      <c r="E43" s="3" t="s">
        <v>13</v>
      </c>
      <c r="F43" s="4" t="s">
        <v>11</v>
      </c>
      <c r="G43" s="5">
        <v>4</v>
      </c>
      <c r="H43" s="2" t="s">
        <v>37</v>
      </c>
      <c r="I43" s="6" t="s">
        <v>112</v>
      </c>
    </row>
    <row r="44" spans="1:9">
      <c r="A44" s="1" t="s">
        <v>113</v>
      </c>
      <c r="B44" s="2" t="s">
        <v>23</v>
      </c>
      <c r="C44" s="2" t="s">
        <v>35</v>
      </c>
      <c r="D44" s="2" t="s">
        <v>19</v>
      </c>
      <c r="E44" s="3">
        <v>33956</v>
      </c>
      <c r="F44" s="4">
        <v>42295</v>
      </c>
      <c r="G44" s="5" t="s">
        <v>41</v>
      </c>
      <c r="H44" s="2" t="s">
        <v>11</v>
      </c>
      <c r="I44" s="6" t="s">
        <v>114</v>
      </c>
    </row>
    <row r="45" spans="1:9">
      <c r="A45" s="1" t="s">
        <v>115</v>
      </c>
      <c r="B45" s="2" t="s">
        <v>56</v>
      </c>
      <c r="C45" s="2" t="s">
        <v>11</v>
      </c>
      <c r="D45" s="2" t="s">
        <v>66</v>
      </c>
      <c r="E45" s="3">
        <v>64913</v>
      </c>
      <c r="F45" s="4">
        <v>42302</v>
      </c>
      <c r="G45" s="5">
        <v>1</v>
      </c>
      <c r="H45" s="2" t="s">
        <v>37</v>
      </c>
      <c r="I45" s="6" t="s">
        <v>116</v>
      </c>
    </row>
    <row r="46" spans="1:9">
      <c r="A46" s="1" t="s">
        <v>117</v>
      </c>
      <c r="B46" s="2" t="s">
        <v>23</v>
      </c>
      <c r="C46" s="2" t="s">
        <v>44</v>
      </c>
      <c r="D46" s="2" t="s">
        <v>66</v>
      </c>
      <c r="E46" s="3">
        <v>35326</v>
      </c>
      <c r="F46" s="4">
        <v>42309</v>
      </c>
      <c r="G46" s="5" t="s">
        <v>41</v>
      </c>
      <c r="H46" s="2" t="s">
        <v>37</v>
      </c>
      <c r="I46" s="6" t="s">
        <v>118</v>
      </c>
    </row>
    <row r="47" spans="1:9">
      <c r="A47" s="1" t="s">
        <v>119</v>
      </c>
      <c r="B47" s="2" t="s">
        <v>43</v>
      </c>
      <c r="C47" s="2" t="s">
        <v>12</v>
      </c>
      <c r="D47" s="2" t="s">
        <v>11</v>
      </c>
      <c r="E47" s="3">
        <v>81610</v>
      </c>
      <c r="F47" s="4">
        <v>42316</v>
      </c>
      <c r="G47" s="5">
        <v>1</v>
      </c>
      <c r="H47" s="2" t="s">
        <v>11</v>
      </c>
      <c r="I47" s="6" t="s">
        <v>120</v>
      </c>
    </row>
    <row r="48" spans="1:9">
      <c r="A48" s="1" t="s">
        <v>121</v>
      </c>
      <c r="B48" s="2" t="s">
        <v>11</v>
      </c>
      <c r="C48" s="2" t="s">
        <v>18</v>
      </c>
      <c r="D48" s="2" t="s">
        <v>11</v>
      </c>
      <c r="E48" s="3">
        <v>58962</v>
      </c>
      <c r="F48" s="4">
        <v>42323</v>
      </c>
      <c r="G48" s="5">
        <v>3</v>
      </c>
      <c r="H48" s="2" t="s">
        <v>20</v>
      </c>
      <c r="I48" s="6" t="s">
        <v>21</v>
      </c>
    </row>
    <row r="49" spans="1:9">
      <c r="A49" s="1" t="s">
        <v>122</v>
      </c>
      <c r="B49" s="2" t="s">
        <v>43</v>
      </c>
      <c r="C49" s="2" t="s">
        <v>35</v>
      </c>
      <c r="D49" s="2" t="s">
        <v>19</v>
      </c>
      <c r="E49" s="3">
        <v>92701</v>
      </c>
      <c r="F49" s="4">
        <v>42330</v>
      </c>
      <c r="G49" s="5">
        <v>3</v>
      </c>
      <c r="H49" s="2" t="s">
        <v>20</v>
      </c>
      <c r="I49" s="6" t="s">
        <v>123</v>
      </c>
    </row>
    <row r="50" spans="1:9">
      <c r="A50" s="1" t="s">
        <v>124</v>
      </c>
      <c r="B50" s="2" t="s">
        <v>43</v>
      </c>
      <c r="C50" s="2" t="s">
        <v>18</v>
      </c>
      <c r="D50" s="2" t="s">
        <v>36</v>
      </c>
      <c r="E50" s="3">
        <v>58245</v>
      </c>
      <c r="F50" s="4">
        <v>42337</v>
      </c>
      <c r="G50" s="5">
        <v>4</v>
      </c>
      <c r="H50" s="2" t="s">
        <v>11</v>
      </c>
      <c r="I50" s="6" t="s">
        <v>125</v>
      </c>
    </row>
    <row r="51" spans="1:9">
      <c r="A51" s="1" t="s">
        <v>126</v>
      </c>
      <c r="B51" s="2" t="s">
        <v>26</v>
      </c>
      <c r="C51" s="2" t="s">
        <v>12</v>
      </c>
      <c r="D51" s="2" t="s">
        <v>11</v>
      </c>
      <c r="E51" s="3">
        <v>66513</v>
      </c>
      <c r="F51" s="4">
        <v>42344</v>
      </c>
      <c r="G51" s="5">
        <v>2</v>
      </c>
      <c r="H51" s="2" t="s">
        <v>20</v>
      </c>
      <c r="I51" s="6" t="s">
        <v>38</v>
      </c>
    </row>
    <row r="52" spans="1:9">
      <c r="A52" s="1" t="s">
        <v>127</v>
      </c>
      <c r="B52" s="2" t="s">
        <v>17</v>
      </c>
      <c r="C52" s="2" t="s">
        <v>18</v>
      </c>
      <c r="D52" s="2" t="s">
        <v>19</v>
      </c>
      <c r="E52" s="3">
        <v>78720</v>
      </c>
      <c r="F52" s="4">
        <v>42351</v>
      </c>
      <c r="G52" s="5">
        <v>5</v>
      </c>
      <c r="H52" s="2" t="s">
        <v>37</v>
      </c>
      <c r="I52" s="6" t="s">
        <v>112</v>
      </c>
    </row>
    <row r="53" spans="1:9">
      <c r="A53" s="1" t="s">
        <v>128</v>
      </c>
      <c r="B53" s="2" t="s">
        <v>43</v>
      </c>
      <c r="C53" s="2" t="s">
        <v>11</v>
      </c>
      <c r="D53" s="2" t="s">
        <v>11</v>
      </c>
      <c r="E53" s="3">
        <v>30686</v>
      </c>
      <c r="F53" s="4" t="s">
        <v>11</v>
      </c>
      <c r="G53" s="5">
        <v>2</v>
      </c>
      <c r="H53" s="2" t="s">
        <v>37</v>
      </c>
      <c r="I53" s="6" t="s">
        <v>129</v>
      </c>
    </row>
    <row r="54" spans="1:9">
      <c r="A54" s="1" t="s">
        <v>130</v>
      </c>
      <c r="B54" s="2" t="s">
        <v>40</v>
      </c>
      <c r="C54" s="2" t="s">
        <v>27</v>
      </c>
      <c r="D54" s="2" t="s">
        <v>36</v>
      </c>
      <c r="E54" s="3">
        <v>39423</v>
      </c>
      <c r="F54" s="4">
        <v>42365</v>
      </c>
      <c r="G54" s="5">
        <v>5</v>
      </c>
      <c r="H54" s="2" t="s">
        <v>11</v>
      </c>
      <c r="I54" s="6" t="s">
        <v>131</v>
      </c>
    </row>
    <row r="55" spans="1:9">
      <c r="A55" s="1" t="s">
        <v>132</v>
      </c>
      <c r="B55" s="2" t="s">
        <v>17</v>
      </c>
      <c r="C55" s="2" t="s">
        <v>44</v>
      </c>
      <c r="D55" s="2" t="s">
        <v>11</v>
      </c>
      <c r="E55" s="3">
        <v>30280</v>
      </c>
      <c r="F55" s="4">
        <v>42372</v>
      </c>
      <c r="G55" s="5">
        <v>1</v>
      </c>
      <c r="H55" s="2" t="s">
        <v>11</v>
      </c>
      <c r="I55" s="6" t="s">
        <v>133</v>
      </c>
    </row>
    <row r="56" spans="1:9">
      <c r="A56" s="1" t="s">
        <v>134</v>
      </c>
      <c r="B56" s="2" t="s">
        <v>17</v>
      </c>
      <c r="C56" s="2" t="s">
        <v>12</v>
      </c>
      <c r="D56" s="2" t="s">
        <v>49</v>
      </c>
      <c r="E56" s="3">
        <v>33352</v>
      </c>
      <c r="F56" s="4">
        <v>42379</v>
      </c>
      <c r="G56" s="5">
        <v>3</v>
      </c>
      <c r="H56" s="2" t="s">
        <v>37</v>
      </c>
      <c r="I56" s="6" t="s">
        <v>73</v>
      </c>
    </row>
    <row r="57" spans="1:9">
      <c r="A57" s="1" t="s">
        <v>135</v>
      </c>
      <c r="B57" s="2" t="s">
        <v>56</v>
      </c>
      <c r="C57" s="2" t="s">
        <v>44</v>
      </c>
      <c r="D57" s="2" t="s">
        <v>49</v>
      </c>
      <c r="E57" s="3">
        <v>75633</v>
      </c>
      <c r="F57" s="4">
        <v>42386</v>
      </c>
      <c r="G57" s="5">
        <v>5</v>
      </c>
      <c r="H57" s="2" t="s">
        <v>20</v>
      </c>
      <c r="I57" s="6" t="s">
        <v>136</v>
      </c>
    </row>
    <row r="58" spans="1:9">
      <c r="A58" s="1" t="s">
        <v>137</v>
      </c>
      <c r="B58" s="2" t="s">
        <v>43</v>
      </c>
      <c r="C58" s="2" t="s">
        <v>11</v>
      </c>
      <c r="D58" s="2" t="s">
        <v>28</v>
      </c>
      <c r="E58" s="3">
        <v>74815</v>
      </c>
      <c r="F58" s="4">
        <v>42393</v>
      </c>
      <c r="G58" s="5">
        <v>5</v>
      </c>
      <c r="H58" s="2" t="s">
        <v>37</v>
      </c>
      <c r="I58" s="6" t="s">
        <v>138</v>
      </c>
    </row>
    <row r="59" spans="1:9">
      <c r="A59" s="1" t="s">
        <v>139</v>
      </c>
      <c r="B59" s="2" t="s">
        <v>26</v>
      </c>
      <c r="C59" s="2" t="s">
        <v>27</v>
      </c>
      <c r="D59" s="2" t="s">
        <v>66</v>
      </c>
      <c r="E59" s="3">
        <v>60011</v>
      </c>
      <c r="F59" s="4">
        <v>42400</v>
      </c>
      <c r="G59" s="5">
        <v>1</v>
      </c>
      <c r="H59" s="2" t="s">
        <v>29</v>
      </c>
      <c r="I59" s="6" t="s">
        <v>140</v>
      </c>
    </row>
    <row r="60" spans="1:9">
      <c r="A60" s="1" t="s">
        <v>141</v>
      </c>
      <c r="B60" s="2" t="s">
        <v>17</v>
      </c>
      <c r="C60" s="2" t="s">
        <v>11</v>
      </c>
      <c r="D60" s="2" t="s">
        <v>36</v>
      </c>
      <c r="E60" s="3">
        <v>96949</v>
      </c>
      <c r="F60" s="4">
        <v>42407</v>
      </c>
      <c r="G60" s="5">
        <v>3</v>
      </c>
      <c r="H60" s="2" t="s">
        <v>11</v>
      </c>
      <c r="I60" s="6" t="s">
        <v>87</v>
      </c>
    </row>
    <row r="61" spans="1:9">
      <c r="A61" s="1" t="s">
        <v>142</v>
      </c>
      <c r="B61" s="2" t="s">
        <v>40</v>
      </c>
      <c r="C61" s="2" t="s">
        <v>44</v>
      </c>
      <c r="D61" s="2" t="s">
        <v>11</v>
      </c>
      <c r="E61" s="3">
        <v>84924</v>
      </c>
      <c r="F61" s="4">
        <v>42414</v>
      </c>
      <c r="G61" s="5">
        <v>5</v>
      </c>
      <c r="H61" s="2" t="s">
        <v>29</v>
      </c>
      <c r="I61" s="6" t="s">
        <v>143</v>
      </c>
    </row>
    <row r="62" spans="1:9">
      <c r="A62" s="1" t="s">
        <v>144</v>
      </c>
      <c r="B62" s="2" t="s">
        <v>40</v>
      </c>
      <c r="C62" s="2" t="s">
        <v>12</v>
      </c>
      <c r="D62" s="2" t="s">
        <v>28</v>
      </c>
      <c r="E62" s="3">
        <v>82033</v>
      </c>
      <c r="F62" s="4">
        <v>42421</v>
      </c>
      <c r="G62" s="5">
        <v>1</v>
      </c>
      <c r="H62" s="2" t="s">
        <v>11</v>
      </c>
      <c r="I62" s="6" t="s">
        <v>120</v>
      </c>
    </row>
    <row r="63" spans="1:9">
      <c r="A63" s="1" t="s">
        <v>145</v>
      </c>
      <c r="B63" s="2" t="s">
        <v>11</v>
      </c>
      <c r="C63" s="2" t="s">
        <v>44</v>
      </c>
      <c r="D63" s="2" t="s">
        <v>19</v>
      </c>
      <c r="E63" s="3" t="s">
        <v>13</v>
      </c>
      <c r="F63" s="4" t="s">
        <v>11</v>
      </c>
      <c r="G63" s="5">
        <v>5</v>
      </c>
      <c r="H63" s="2" t="s">
        <v>14</v>
      </c>
      <c r="I63" s="6" t="s">
        <v>146</v>
      </c>
    </row>
    <row r="64" spans="1:9">
      <c r="A64" s="1" t="s">
        <v>147</v>
      </c>
      <c r="B64" s="2" t="s">
        <v>17</v>
      </c>
      <c r="C64" s="2" t="s">
        <v>11</v>
      </c>
      <c r="D64" s="2" t="s">
        <v>66</v>
      </c>
      <c r="E64" s="3">
        <v>31499</v>
      </c>
      <c r="F64" s="4">
        <v>42435</v>
      </c>
      <c r="G64" s="5">
        <v>2</v>
      </c>
      <c r="H64" s="2" t="s">
        <v>11</v>
      </c>
      <c r="I64" s="6" t="s">
        <v>104</v>
      </c>
    </row>
    <row r="65" spans="1:9">
      <c r="A65" s="1" t="s">
        <v>148</v>
      </c>
      <c r="B65" s="2" t="s">
        <v>43</v>
      </c>
      <c r="C65" s="2" t="s">
        <v>35</v>
      </c>
      <c r="D65" s="2" t="s">
        <v>49</v>
      </c>
      <c r="E65" s="3">
        <v>97981</v>
      </c>
      <c r="F65" s="4">
        <v>42442</v>
      </c>
      <c r="G65" s="5">
        <v>5</v>
      </c>
      <c r="H65" s="2" t="s">
        <v>37</v>
      </c>
      <c r="I65" s="6" t="s">
        <v>149</v>
      </c>
    </row>
    <row r="66" spans="1:9">
      <c r="A66" s="1" t="s">
        <v>150</v>
      </c>
      <c r="B66" s="2" t="s">
        <v>17</v>
      </c>
      <c r="C66" s="2" t="s">
        <v>18</v>
      </c>
      <c r="D66" s="2" t="s">
        <v>28</v>
      </c>
      <c r="E66" s="3">
        <v>36541</v>
      </c>
      <c r="F66" s="4">
        <v>42449</v>
      </c>
      <c r="G66" s="5">
        <v>2</v>
      </c>
      <c r="H66" s="2" t="s">
        <v>20</v>
      </c>
      <c r="I66" s="6" t="s">
        <v>151</v>
      </c>
    </row>
    <row r="67" spans="1:9">
      <c r="A67" s="1" t="s">
        <v>152</v>
      </c>
      <c r="B67" s="2" t="s">
        <v>26</v>
      </c>
      <c r="C67" s="2" t="s">
        <v>35</v>
      </c>
      <c r="D67" s="2" t="s">
        <v>36</v>
      </c>
      <c r="E67" s="3">
        <v>84737</v>
      </c>
      <c r="F67" s="4">
        <v>42456</v>
      </c>
      <c r="G67" s="5">
        <v>1</v>
      </c>
      <c r="H67" s="2" t="s">
        <v>29</v>
      </c>
      <c r="I67" s="6" t="s">
        <v>153</v>
      </c>
    </row>
    <row r="68" spans="1:9">
      <c r="A68" s="1" t="s">
        <v>154</v>
      </c>
      <c r="B68" s="2" t="s">
        <v>40</v>
      </c>
      <c r="C68" s="2" t="s">
        <v>12</v>
      </c>
      <c r="D68" s="2" t="s">
        <v>36</v>
      </c>
      <c r="E68" s="3">
        <v>33468</v>
      </c>
      <c r="F68" s="4">
        <v>42463</v>
      </c>
      <c r="G68" s="5">
        <v>4</v>
      </c>
      <c r="H68" s="2" t="s">
        <v>29</v>
      </c>
      <c r="I68" s="6" t="s">
        <v>155</v>
      </c>
    </row>
    <row r="69" spans="1:9">
      <c r="A69" s="1" t="s">
        <v>156</v>
      </c>
      <c r="B69" s="2" t="s">
        <v>40</v>
      </c>
      <c r="C69" s="2" t="s">
        <v>11</v>
      </c>
      <c r="D69" s="2" t="s">
        <v>66</v>
      </c>
      <c r="E69" s="3">
        <v>96365</v>
      </c>
      <c r="F69" s="4">
        <v>42470</v>
      </c>
      <c r="G69" s="5">
        <v>3</v>
      </c>
      <c r="H69" s="2" t="s">
        <v>20</v>
      </c>
      <c r="I69" s="6" t="s">
        <v>157</v>
      </c>
    </row>
    <row r="70" spans="1:9">
      <c r="A70" s="1" t="s">
        <v>158</v>
      </c>
      <c r="B70" s="2" t="s">
        <v>23</v>
      </c>
      <c r="C70" s="2" t="s">
        <v>27</v>
      </c>
      <c r="D70" s="2" t="s">
        <v>36</v>
      </c>
      <c r="E70" s="3">
        <v>61942</v>
      </c>
      <c r="F70" s="4">
        <v>42477</v>
      </c>
      <c r="G70" s="5">
        <v>3</v>
      </c>
      <c r="H70" s="2" t="s">
        <v>37</v>
      </c>
      <c r="I70" s="6" t="s">
        <v>159</v>
      </c>
    </row>
    <row r="71" spans="1:9">
      <c r="A71" s="1" t="s">
        <v>160</v>
      </c>
      <c r="B71" s="2" t="s">
        <v>40</v>
      </c>
      <c r="C71" s="2" t="s">
        <v>12</v>
      </c>
      <c r="D71" s="2" t="s">
        <v>49</v>
      </c>
      <c r="E71" s="3">
        <v>41467</v>
      </c>
      <c r="F71" s="4">
        <v>42484</v>
      </c>
      <c r="G71" s="5">
        <v>2</v>
      </c>
      <c r="H71" s="2" t="s">
        <v>11</v>
      </c>
      <c r="I71" s="6" t="s">
        <v>75</v>
      </c>
    </row>
    <row r="72" spans="1:9">
      <c r="A72" s="1" t="s">
        <v>161</v>
      </c>
      <c r="B72" s="2" t="s">
        <v>56</v>
      </c>
      <c r="C72" s="2" t="s">
        <v>12</v>
      </c>
      <c r="D72" s="2" t="s">
        <v>36</v>
      </c>
      <c r="E72" s="3">
        <v>77096</v>
      </c>
      <c r="F72" s="4">
        <v>42491</v>
      </c>
      <c r="G72" s="5">
        <v>1</v>
      </c>
      <c r="H72" s="2" t="s">
        <v>11</v>
      </c>
      <c r="I72" s="6" t="s">
        <v>162</v>
      </c>
    </row>
    <row r="73" spans="1:9">
      <c r="A73" s="1" t="s">
        <v>163</v>
      </c>
      <c r="B73" s="2" t="s">
        <v>17</v>
      </c>
      <c r="C73" s="2" t="s">
        <v>27</v>
      </c>
      <c r="D73" s="2" t="s">
        <v>66</v>
      </c>
      <c r="E73" s="3">
        <v>69952</v>
      </c>
      <c r="F73" s="4">
        <v>42498</v>
      </c>
      <c r="G73" s="5">
        <v>5</v>
      </c>
      <c r="H73" s="2" t="s">
        <v>37</v>
      </c>
      <c r="I73" s="6" t="s">
        <v>15</v>
      </c>
    </row>
    <row r="74" spans="1:9">
      <c r="A74" s="1" t="s">
        <v>164</v>
      </c>
      <c r="B74" s="2" t="s">
        <v>17</v>
      </c>
      <c r="C74" s="2" t="s">
        <v>44</v>
      </c>
      <c r="D74" s="2" t="s">
        <v>28</v>
      </c>
      <c r="E74" s="3">
        <v>85065</v>
      </c>
      <c r="F74" s="4">
        <v>42505</v>
      </c>
      <c r="G74" s="5">
        <v>3</v>
      </c>
      <c r="H74" s="2" t="s">
        <v>11</v>
      </c>
      <c r="I74" s="6" t="s">
        <v>165</v>
      </c>
    </row>
    <row r="75" spans="1:9">
      <c r="A75" s="1" t="s">
        <v>166</v>
      </c>
      <c r="B75" s="2" t="s">
        <v>56</v>
      </c>
      <c r="C75" s="2" t="s">
        <v>44</v>
      </c>
      <c r="D75" s="2" t="s">
        <v>36</v>
      </c>
      <c r="E75" s="3">
        <v>56512</v>
      </c>
      <c r="F75" s="4">
        <v>42512</v>
      </c>
      <c r="G75" s="5" t="s">
        <v>41</v>
      </c>
      <c r="H75" s="2" t="s">
        <v>20</v>
      </c>
      <c r="I75" s="6" t="s">
        <v>50</v>
      </c>
    </row>
    <row r="76" spans="1:9">
      <c r="A76" s="1" t="s">
        <v>167</v>
      </c>
      <c r="B76" s="2" t="s">
        <v>26</v>
      </c>
      <c r="C76" s="2" t="s">
        <v>27</v>
      </c>
      <c r="D76" s="2" t="s">
        <v>36</v>
      </c>
      <c r="E76" s="3">
        <v>91101</v>
      </c>
      <c r="F76" s="4">
        <v>42519</v>
      </c>
      <c r="G76" s="5">
        <v>4</v>
      </c>
      <c r="H76" s="2" t="s">
        <v>37</v>
      </c>
      <c r="I76" s="6" t="s">
        <v>149</v>
      </c>
    </row>
    <row r="77" spans="1:9">
      <c r="A77" s="1" t="s">
        <v>168</v>
      </c>
      <c r="B77" s="2" t="s">
        <v>40</v>
      </c>
      <c r="C77" s="2" t="s">
        <v>11</v>
      </c>
      <c r="D77" s="2" t="s">
        <v>19</v>
      </c>
      <c r="E77" s="3">
        <v>41243</v>
      </c>
      <c r="F77" s="4">
        <v>42526</v>
      </c>
      <c r="G77" s="5" t="s">
        <v>41</v>
      </c>
      <c r="H77" s="2" t="s">
        <v>11</v>
      </c>
      <c r="I77" s="6" t="s">
        <v>95</v>
      </c>
    </row>
    <row r="78" spans="1:9">
      <c r="A78" s="1" t="s">
        <v>169</v>
      </c>
      <c r="B78" s="2" t="s">
        <v>11</v>
      </c>
      <c r="C78" s="2" t="s">
        <v>27</v>
      </c>
      <c r="D78" s="2" t="s">
        <v>11</v>
      </c>
      <c r="E78" s="3">
        <v>96142</v>
      </c>
      <c r="F78" s="4">
        <v>42533</v>
      </c>
      <c r="G78" s="5">
        <v>1</v>
      </c>
      <c r="H78" s="2" t="s">
        <v>20</v>
      </c>
      <c r="I78" s="6" t="s">
        <v>170</v>
      </c>
    </row>
    <row r="79" spans="1:9">
      <c r="A79" s="1" t="s">
        <v>171</v>
      </c>
      <c r="B79" s="2" t="s">
        <v>17</v>
      </c>
      <c r="C79" s="2" t="s">
        <v>35</v>
      </c>
      <c r="D79" s="2" t="s">
        <v>36</v>
      </c>
      <c r="E79" s="3">
        <v>94301</v>
      </c>
      <c r="F79" s="4">
        <v>42540</v>
      </c>
      <c r="G79" s="5">
        <v>1</v>
      </c>
      <c r="H79" s="2" t="s">
        <v>29</v>
      </c>
      <c r="I79" s="6" t="s">
        <v>120</v>
      </c>
    </row>
    <row r="80" spans="1:9">
      <c r="A80" s="1" t="s">
        <v>172</v>
      </c>
      <c r="B80" s="2" t="s">
        <v>32</v>
      </c>
      <c r="C80" s="2" t="s">
        <v>11</v>
      </c>
      <c r="D80" s="2" t="s">
        <v>49</v>
      </c>
      <c r="E80" s="3">
        <v>69166</v>
      </c>
      <c r="F80" s="4">
        <v>42547</v>
      </c>
      <c r="G80" s="5">
        <v>1</v>
      </c>
      <c r="H80" s="2" t="s">
        <v>37</v>
      </c>
      <c r="I80" s="6" t="s">
        <v>173</v>
      </c>
    </row>
    <row r="81" spans="1:9">
      <c r="A81" s="1" t="s">
        <v>174</v>
      </c>
      <c r="B81" s="2" t="s">
        <v>40</v>
      </c>
      <c r="C81" s="2" t="s">
        <v>11</v>
      </c>
      <c r="D81" s="2" t="s">
        <v>49</v>
      </c>
      <c r="E81" s="3">
        <v>78245</v>
      </c>
      <c r="F81" s="4">
        <v>42554</v>
      </c>
      <c r="G81" s="5">
        <v>2</v>
      </c>
      <c r="H81" s="2" t="s">
        <v>11</v>
      </c>
      <c r="I81" s="6" t="s">
        <v>175</v>
      </c>
    </row>
    <row r="82" spans="1:9">
      <c r="A82" s="1" t="s">
        <v>176</v>
      </c>
      <c r="B82" s="2" t="s">
        <v>43</v>
      </c>
      <c r="C82" s="2" t="s">
        <v>27</v>
      </c>
      <c r="D82" s="2" t="s">
        <v>28</v>
      </c>
      <c r="E82" s="3">
        <v>66079</v>
      </c>
      <c r="F82" s="4">
        <v>42561</v>
      </c>
      <c r="G82" s="5">
        <v>2</v>
      </c>
      <c r="H82" s="2" t="s">
        <v>20</v>
      </c>
      <c r="I82" s="6" t="s">
        <v>177</v>
      </c>
    </row>
    <row r="83" spans="1:9">
      <c r="A83" s="1" t="s">
        <v>178</v>
      </c>
      <c r="B83" s="2" t="s">
        <v>17</v>
      </c>
      <c r="C83" s="2" t="s">
        <v>44</v>
      </c>
      <c r="D83" s="2" t="s">
        <v>36</v>
      </c>
      <c r="E83" s="3" t="s">
        <v>13</v>
      </c>
      <c r="F83" s="4" t="s">
        <v>11</v>
      </c>
      <c r="G83" s="5" t="s">
        <v>41</v>
      </c>
      <c r="H83" s="2" t="s">
        <v>11</v>
      </c>
      <c r="I83" s="6" t="s">
        <v>89</v>
      </c>
    </row>
    <row r="84" spans="1:9">
      <c r="A84" s="1" t="s">
        <v>179</v>
      </c>
      <c r="B84" s="2" t="s">
        <v>32</v>
      </c>
      <c r="C84" s="2" t="s">
        <v>27</v>
      </c>
      <c r="D84" s="2" t="s">
        <v>28</v>
      </c>
      <c r="E84" s="3">
        <v>95621</v>
      </c>
      <c r="F84" s="4">
        <v>42575</v>
      </c>
      <c r="G84" s="5">
        <v>3</v>
      </c>
      <c r="H84" s="2" t="s">
        <v>37</v>
      </c>
      <c r="I84" s="6" t="s">
        <v>180</v>
      </c>
    </row>
    <row r="85" spans="1:9">
      <c r="A85" s="1" t="s">
        <v>181</v>
      </c>
      <c r="B85" s="2" t="s">
        <v>17</v>
      </c>
      <c r="C85" s="2" t="s">
        <v>35</v>
      </c>
      <c r="D85" s="2" t="s">
        <v>49</v>
      </c>
      <c r="E85" s="3">
        <v>42262</v>
      </c>
      <c r="F85" s="4">
        <v>42582</v>
      </c>
      <c r="G85" s="5">
        <v>1</v>
      </c>
      <c r="H85" s="2" t="s">
        <v>11</v>
      </c>
      <c r="I85" s="6" t="s">
        <v>182</v>
      </c>
    </row>
    <row r="86" spans="1:9">
      <c r="A86" s="1" t="s">
        <v>183</v>
      </c>
      <c r="B86" s="2" t="s">
        <v>40</v>
      </c>
      <c r="C86" s="2" t="s">
        <v>27</v>
      </c>
      <c r="D86" s="2" t="s">
        <v>36</v>
      </c>
      <c r="E86" s="3">
        <v>99621</v>
      </c>
      <c r="F86" s="4">
        <v>42589</v>
      </c>
      <c r="G86" s="5" t="s">
        <v>41</v>
      </c>
      <c r="H86" s="2" t="s">
        <v>20</v>
      </c>
      <c r="I86" s="6" t="s">
        <v>184</v>
      </c>
    </row>
    <row r="87" spans="1:9">
      <c r="A87" s="1" t="s">
        <v>185</v>
      </c>
      <c r="B87" s="2" t="s">
        <v>26</v>
      </c>
      <c r="C87" s="2" t="s">
        <v>44</v>
      </c>
      <c r="D87" s="2" t="s">
        <v>36</v>
      </c>
      <c r="E87" s="3">
        <v>44682</v>
      </c>
      <c r="F87" s="4">
        <v>42596</v>
      </c>
      <c r="G87" s="5">
        <v>4</v>
      </c>
      <c r="H87" s="2" t="s">
        <v>37</v>
      </c>
      <c r="I87" s="6" t="s">
        <v>114</v>
      </c>
    </row>
    <row r="88" spans="1:9">
      <c r="A88" s="1" t="s">
        <v>186</v>
      </c>
      <c r="B88" s="2" t="s">
        <v>43</v>
      </c>
      <c r="C88" s="2" t="s">
        <v>12</v>
      </c>
      <c r="D88" s="2" t="s">
        <v>11</v>
      </c>
      <c r="E88" s="3">
        <v>35163</v>
      </c>
      <c r="F88" s="4">
        <v>42603</v>
      </c>
      <c r="G88" s="5">
        <v>5</v>
      </c>
      <c r="H88" s="2" t="s">
        <v>20</v>
      </c>
      <c r="I88" s="6" t="s">
        <v>187</v>
      </c>
    </row>
    <row r="89" spans="1:9">
      <c r="A89" s="1" t="s">
        <v>188</v>
      </c>
      <c r="B89" s="2" t="s">
        <v>43</v>
      </c>
      <c r="C89" s="2" t="s">
        <v>35</v>
      </c>
      <c r="D89" s="2" t="s">
        <v>36</v>
      </c>
      <c r="E89" s="3">
        <v>33483</v>
      </c>
      <c r="F89" s="4">
        <v>42610</v>
      </c>
      <c r="G89" s="5">
        <v>4</v>
      </c>
      <c r="H89" s="2" t="s">
        <v>29</v>
      </c>
      <c r="I89" s="6" t="s">
        <v>189</v>
      </c>
    </row>
    <row r="90" spans="1:9">
      <c r="A90" s="1" t="s">
        <v>190</v>
      </c>
      <c r="B90" s="2" t="s">
        <v>40</v>
      </c>
      <c r="C90" s="2" t="s">
        <v>18</v>
      </c>
      <c r="D90" s="2" t="s">
        <v>19</v>
      </c>
      <c r="E90" s="3">
        <v>55303</v>
      </c>
      <c r="F90" s="4">
        <v>42617</v>
      </c>
      <c r="G90" s="5">
        <v>4</v>
      </c>
      <c r="H90" s="2" t="s">
        <v>29</v>
      </c>
      <c r="I90" s="6" t="s">
        <v>79</v>
      </c>
    </row>
    <row r="91" spans="1:9">
      <c r="A91" s="1" t="s">
        <v>191</v>
      </c>
      <c r="B91" s="2" t="s">
        <v>43</v>
      </c>
      <c r="C91" s="2" t="s">
        <v>35</v>
      </c>
      <c r="D91" s="2" t="s">
        <v>11</v>
      </c>
      <c r="E91" s="3">
        <v>63434</v>
      </c>
      <c r="F91" s="4">
        <v>42624</v>
      </c>
      <c r="G91" s="5">
        <v>3</v>
      </c>
      <c r="H91" s="2" t="s">
        <v>11</v>
      </c>
      <c r="I91" s="6" t="s">
        <v>192</v>
      </c>
    </row>
    <row r="92" spans="1:9">
      <c r="A92" s="1" t="s">
        <v>193</v>
      </c>
      <c r="B92" s="2" t="s">
        <v>32</v>
      </c>
      <c r="C92" s="2" t="s">
        <v>11</v>
      </c>
      <c r="D92" s="2" t="s">
        <v>66</v>
      </c>
      <c r="E92" s="3">
        <v>38830</v>
      </c>
      <c r="F92" s="4">
        <v>42631</v>
      </c>
      <c r="G92" s="5">
        <v>3</v>
      </c>
      <c r="H92" s="2" t="s">
        <v>20</v>
      </c>
      <c r="I92" s="6" t="s">
        <v>79</v>
      </c>
    </row>
    <row r="93" spans="1:9">
      <c r="A93" s="1" t="s">
        <v>194</v>
      </c>
      <c r="B93" s="2" t="s">
        <v>11</v>
      </c>
      <c r="C93" s="2" t="s">
        <v>44</v>
      </c>
      <c r="D93" s="2" t="s">
        <v>49</v>
      </c>
      <c r="E93" s="3">
        <v>50741</v>
      </c>
      <c r="F93" s="4">
        <v>42638</v>
      </c>
      <c r="G93" s="5">
        <v>3</v>
      </c>
      <c r="H93" s="2" t="s">
        <v>14</v>
      </c>
      <c r="I93" s="6" t="s">
        <v>162</v>
      </c>
    </row>
    <row r="94" spans="1:9">
      <c r="A94" s="1" t="s">
        <v>195</v>
      </c>
      <c r="B94" s="2" t="s">
        <v>23</v>
      </c>
      <c r="C94" s="2" t="s">
        <v>18</v>
      </c>
      <c r="D94" s="2" t="s">
        <v>66</v>
      </c>
      <c r="E94" s="3">
        <v>69420</v>
      </c>
      <c r="F94" s="4">
        <v>42645</v>
      </c>
      <c r="G94" s="5">
        <v>1</v>
      </c>
      <c r="H94" s="2" t="s">
        <v>29</v>
      </c>
      <c r="I94" s="6" t="s">
        <v>125</v>
      </c>
    </row>
    <row r="95" spans="1:9">
      <c r="A95" s="1" t="s">
        <v>196</v>
      </c>
      <c r="B95" s="2" t="s">
        <v>32</v>
      </c>
      <c r="C95" s="2" t="s">
        <v>35</v>
      </c>
      <c r="D95" s="2" t="s">
        <v>11</v>
      </c>
      <c r="E95" s="3">
        <v>80588</v>
      </c>
      <c r="F95" s="4">
        <v>42652</v>
      </c>
      <c r="G95" s="5">
        <v>5</v>
      </c>
      <c r="H95" s="2" t="s">
        <v>29</v>
      </c>
      <c r="I95" s="6" t="s">
        <v>106</v>
      </c>
    </row>
    <row r="96" spans="1:9">
      <c r="A96" s="1" t="s">
        <v>197</v>
      </c>
      <c r="B96" s="2" t="s">
        <v>23</v>
      </c>
      <c r="C96" s="2" t="s">
        <v>11</v>
      </c>
      <c r="D96" s="2" t="s">
        <v>28</v>
      </c>
      <c r="E96" s="3">
        <v>76238</v>
      </c>
      <c r="F96" s="4">
        <v>42659</v>
      </c>
      <c r="G96" s="5">
        <v>4</v>
      </c>
      <c r="H96" s="2" t="s">
        <v>29</v>
      </c>
      <c r="I96" s="6" t="s">
        <v>198</v>
      </c>
    </row>
    <row r="97" spans="1:9">
      <c r="A97" s="1" t="s">
        <v>199</v>
      </c>
      <c r="B97" s="2" t="s">
        <v>56</v>
      </c>
      <c r="C97" s="2" t="s">
        <v>35</v>
      </c>
      <c r="D97" s="2" t="s">
        <v>36</v>
      </c>
      <c r="E97" s="3">
        <v>33264</v>
      </c>
      <c r="F97" s="4">
        <v>42666</v>
      </c>
      <c r="G97" s="5" t="s">
        <v>41</v>
      </c>
      <c r="H97" s="2" t="s">
        <v>37</v>
      </c>
      <c r="I97" s="6" t="s">
        <v>200</v>
      </c>
    </row>
    <row r="98" spans="1:9">
      <c r="A98" s="1" t="s">
        <v>201</v>
      </c>
      <c r="B98" s="2" t="s">
        <v>23</v>
      </c>
      <c r="C98" s="2" t="s">
        <v>12</v>
      </c>
      <c r="D98" s="2" t="s">
        <v>66</v>
      </c>
      <c r="E98" s="3">
        <v>96101</v>
      </c>
      <c r="F98" s="4">
        <v>42673</v>
      </c>
      <c r="G98" s="5" t="s">
        <v>41</v>
      </c>
      <c r="H98" s="2" t="s">
        <v>20</v>
      </c>
      <c r="I98" s="6" t="s">
        <v>202</v>
      </c>
    </row>
    <row r="99" spans="1:9">
      <c r="A99" s="1" t="s">
        <v>203</v>
      </c>
      <c r="B99" s="2" t="s">
        <v>32</v>
      </c>
      <c r="C99" s="2" t="s">
        <v>12</v>
      </c>
      <c r="D99" s="2" t="s">
        <v>28</v>
      </c>
      <c r="E99" s="3">
        <v>72939</v>
      </c>
      <c r="F99" s="4">
        <v>42680</v>
      </c>
      <c r="G99" s="5">
        <v>3</v>
      </c>
      <c r="H99" s="2" t="s">
        <v>11</v>
      </c>
      <c r="I99" s="6" t="s">
        <v>204</v>
      </c>
    </row>
    <row r="100" spans="1:9">
      <c r="A100" s="1" t="s">
        <v>205</v>
      </c>
      <c r="B100" s="2" t="s">
        <v>40</v>
      </c>
      <c r="C100" s="2" t="s">
        <v>18</v>
      </c>
      <c r="D100" s="2" t="s">
        <v>19</v>
      </c>
      <c r="E100" s="3">
        <v>89333</v>
      </c>
      <c r="F100" s="4">
        <v>42687</v>
      </c>
      <c r="G100" s="5">
        <v>1</v>
      </c>
      <c r="H100" s="2" t="s">
        <v>29</v>
      </c>
      <c r="I100" s="6" t="s">
        <v>206</v>
      </c>
    </row>
    <row r="101" spans="1:9">
      <c r="A101" s="1" t="s">
        <v>207</v>
      </c>
      <c r="B101" s="2" t="s">
        <v>56</v>
      </c>
      <c r="C101" s="2" t="s">
        <v>35</v>
      </c>
      <c r="D101" s="2" t="s">
        <v>66</v>
      </c>
      <c r="E101" s="3">
        <v>70470</v>
      </c>
      <c r="F101" s="4">
        <v>42694</v>
      </c>
      <c r="G101" s="5" t="s">
        <v>41</v>
      </c>
      <c r="H101" s="2" t="s">
        <v>29</v>
      </c>
      <c r="I101" s="6" t="s">
        <v>208</v>
      </c>
    </row>
    <row r="102" spans="1:9">
      <c r="A102" s="1" t="s">
        <v>209</v>
      </c>
      <c r="B102" s="2" t="s">
        <v>17</v>
      </c>
      <c r="C102" s="2" t="s">
        <v>44</v>
      </c>
      <c r="D102" s="2" t="s">
        <v>28</v>
      </c>
      <c r="E102" s="3">
        <v>70096</v>
      </c>
      <c r="F102" s="4">
        <v>42701</v>
      </c>
      <c r="G102" s="5">
        <v>4</v>
      </c>
      <c r="H102" s="2" t="s">
        <v>29</v>
      </c>
      <c r="I102" s="6" t="s">
        <v>210</v>
      </c>
    </row>
    <row r="103" spans="1:9">
      <c r="A103" s="1" t="s">
        <v>211</v>
      </c>
      <c r="B103" s="2" t="s">
        <v>56</v>
      </c>
      <c r="C103" s="2" t="s">
        <v>44</v>
      </c>
      <c r="D103" s="2" t="s">
        <v>11</v>
      </c>
      <c r="E103" s="3" t="s">
        <v>13</v>
      </c>
      <c r="F103" s="4">
        <v>42708</v>
      </c>
      <c r="G103" s="5">
        <v>2</v>
      </c>
      <c r="H103" s="2" t="s">
        <v>20</v>
      </c>
      <c r="I103" s="6" t="s">
        <v>212</v>
      </c>
    </row>
    <row r="104" spans="1:9">
      <c r="A104" s="1" t="s">
        <v>213</v>
      </c>
      <c r="B104" s="2" t="s">
        <v>56</v>
      </c>
      <c r="C104" s="2" t="s">
        <v>35</v>
      </c>
      <c r="D104" s="2" t="s">
        <v>19</v>
      </c>
      <c r="E104" s="3">
        <v>66503</v>
      </c>
      <c r="F104" s="4">
        <v>42715</v>
      </c>
      <c r="G104" s="5" t="s">
        <v>41</v>
      </c>
      <c r="H104" s="2" t="s">
        <v>29</v>
      </c>
      <c r="I104" s="6" t="s">
        <v>73</v>
      </c>
    </row>
    <row r="105" spans="1:9">
      <c r="A105" s="1" t="s">
        <v>214</v>
      </c>
      <c r="B105" s="2" t="s">
        <v>23</v>
      </c>
      <c r="C105" s="2" t="s">
        <v>18</v>
      </c>
      <c r="D105" s="2" t="s">
        <v>19</v>
      </c>
      <c r="E105" s="3">
        <v>42096</v>
      </c>
      <c r="F105" s="4">
        <v>42722</v>
      </c>
      <c r="G105" s="5" t="s">
        <v>41</v>
      </c>
      <c r="H105" s="2" t="s">
        <v>37</v>
      </c>
      <c r="I105" s="6" t="s">
        <v>215</v>
      </c>
    </row>
    <row r="106" spans="1:9">
      <c r="A106" s="1" t="s">
        <v>216</v>
      </c>
      <c r="B106" s="2" t="s">
        <v>23</v>
      </c>
      <c r="C106" s="2" t="s">
        <v>44</v>
      </c>
      <c r="D106" s="2" t="s">
        <v>11</v>
      </c>
      <c r="E106" s="3">
        <v>79145</v>
      </c>
      <c r="F106" s="4">
        <v>42729</v>
      </c>
      <c r="G106" s="5">
        <v>5</v>
      </c>
      <c r="H106" s="2" t="s">
        <v>20</v>
      </c>
      <c r="I106" s="6" t="s">
        <v>120</v>
      </c>
    </row>
    <row r="107" spans="1:9">
      <c r="A107" s="1" t="s">
        <v>217</v>
      </c>
      <c r="B107" s="2" t="s">
        <v>32</v>
      </c>
      <c r="C107" s="2" t="s">
        <v>11</v>
      </c>
      <c r="D107" s="2" t="s">
        <v>66</v>
      </c>
      <c r="E107" s="3">
        <v>61556</v>
      </c>
      <c r="F107" s="4">
        <v>42736</v>
      </c>
      <c r="G107" s="5">
        <v>1</v>
      </c>
      <c r="H107" s="2" t="s">
        <v>11</v>
      </c>
      <c r="I107" s="6" t="s">
        <v>212</v>
      </c>
    </row>
    <row r="108" spans="1:9">
      <c r="A108" s="1" t="s">
        <v>218</v>
      </c>
      <c r="B108" s="2" t="s">
        <v>11</v>
      </c>
      <c r="C108" s="2" t="s">
        <v>18</v>
      </c>
      <c r="D108" s="2" t="s">
        <v>49</v>
      </c>
      <c r="E108" s="3">
        <v>87963</v>
      </c>
      <c r="F108" s="4">
        <v>42743</v>
      </c>
      <c r="G108" s="5">
        <v>3</v>
      </c>
      <c r="H108" s="2" t="s">
        <v>20</v>
      </c>
      <c r="I108" s="6" t="s">
        <v>15</v>
      </c>
    </row>
    <row r="109" spans="1:9">
      <c r="A109" s="1" t="s">
        <v>219</v>
      </c>
      <c r="B109" s="2" t="s">
        <v>17</v>
      </c>
      <c r="C109" s="2" t="s">
        <v>35</v>
      </c>
      <c r="D109" s="2" t="s">
        <v>11</v>
      </c>
      <c r="E109" s="3">
        <v>48325</v>
      </c>
      <c r="F109" s="4">
        <v>42750</v>
      </c>
      <c r="G109" s="5" t="s">
        <v>41</v>
      </c>
      <c r="H109" s="2" t="s">
        <v>29</v>
      </c>
      <c r="I109" s="6" t="s">
        <v>220</v>
      </c>
    </row>
    <row r="110" spans="1:9">
      <c r="A110" s="1" t="s">
        <v>221</v>
      </c>
      <c r="B110" s="2" t="s">
        <v>40</v>
      </c>
      <c r="C110" s="2" t="s">
        <v>44</v>
      </c>
      <c r="D110" s="2" t="s">
        <v>66</v>
      </c>
      <c r="E110" s="3">
        <v>86412</v>
      </c>
      <c r="F110" s="4">
        <v>42757</v>
      </c>
      <c r="G110" s="5">
        <v>2</v>
      </c>
      <c r="H110" s="2" t="s">
        <v>37</v>
      </c>
      <c r="I110" s="6" t="s">
        <v>77</v>
      </c>
    </row>
    <row r="111" spans="1:9">
      <c r="A111" s="1" t="s">
        <v>222</v>
      </c>
      <c r="B111" s="2" t="s">
        <v>40</v>
      </c>
      <c r="C111" s="2" t="s">
        <v>18</v>
      </c>
      <c r="D111" s="2" t="s">
        <v>11</v>
      </c>
      <c r="E111" s="3">
        <v>66761</v>
      </c>
      <c r="F111" s="4">
        <v>42764</v>
      </c>
      <c r="G111" s="5">
        <v>1</v>
      </c>
      <c r="H111" s="2" t="s">
        <v>11</v>
      </c>
      <c r="I111" s="6" t="s">
        <v>223</v>
      </c>
    </row>
    <row r="112" spans="1:9">
      <c r="A112" s="1" t="s">
        <v>224</v>
      </c>
      <c r="B112" s="2" t="s">
        <v>32</v>
      </c>
      <c r="C112" s="2" t="s">
        <v>11</v>
      </c>
      <c r="D112" s="2" t="s">
        <v>36</v>
      </c>
      <c r="E112" s="3">
        <v>88850</v>
      </c>
      <c r="F112" s="4">
        <v>42771</v>
      </c>
      <c r="G112" s="5">
        <v>1</v>
      </c>
      <c r="H112" s="2" t="s">
        <v>37</v>
      </c>
      <c r="I112" s="6" t="s">
        <v>225</v>
      </c>
    </row>
    <row r="113" spans="1:9">
      <c r="A113" s="1" t="s">
        <v>226</v>
      </c>
      <c r="B113" s="2" t="s">
        <v>43</v>
      </c>
      <c r="C113" s="2" t="s">
        <v>27</v>
      </c>
      <c r="D113" s="2" t="s">
        <v>36</v>
      </c>
      <c r="E113" s="3">
        <v>31293</v>
      </c>
      <c r="F113" s="4" t="s">
        <v>11</v>
      </c>
      <c r="G113" s="5">
        <v>2</v>
      </c>
      <c r="H113" s="2" t="s">
        <v>37</v>
      </c>
      <c r="I113" s="6" t="s">
        <v>227</v>
      </c>
    </row>
    <row r="114" spans="1:9">
      <c r="A114" s="1" t="s">
        <v>228</v>
      </c>
      <c r="B114" s="2" t="s">
        <v>43</v>
      </c>
      <c r="C114" s="2" t="s">
        <v>35</v>
      </c>
      <c r="D114" s="2" t="s">
        <v>28</v>
      </c>
      <c r="E114" s="3">
        <v>34306</v>
      </c>
      <c r="F114" s="4">
        <v>42785</v>
      </c>
      <c r="G114" s="5">
        <v>5</v>
      </c>
      <c r="H114" s="2" t="s">
        <v>37</v>
      </c>
      <c r="I114" s="6" t="s">
        <v>159</v>
      </c>
    </row>
    <row r="115" spans="1:9">
      <c r="A115" s="1" t="s">
        <v>229</v>
      </c>
      <c r="B115" s="2" t="s">
        <v>17</v>
      </c>
      <c r="C115" s="2" t="s">
        <v>12</v>
      </c>
      <c r="D115" s="2" t="s">
        <v>36</v>
      </c>
      <c r="E115" s="3">
        <v>78330</v>
      </c>
      <c r="F115" s="4">
        <v>42792</v>
      </c>
      <c r="G115" s="5" t="s">
        <v>41</v>
      </c>
      <c r="H115" s="2" t="s">
        <v>20</v>
      </c>
      <c r="I115" s="6" t="s">
        <v>210</v>
      </c>
    </row>
    <row r="116" spans="1:9">
      <c r="A116" s="1" t="s">
        <v>230</v>
      </c>
      <c r="B116" s="2" t="s">
        <v>23</v>
      </c>
      <c r="C116" s="2" t="s">
        <v>35</v>
      </c>
      <c r="D116" s="2" t="s">
        <v>28</v>
      </c>
      <c r="E116" s="3">
        <v>47653</v>
      </c>
      <c r="F116" s="4">
        <v>42799</v>
      </c>
      <c r="G116" s="5">
        <v>1</v>
      </c>
      <c r="H116" s="2" t="s">
        <v>29</v>
      </c>
      <c r="I116" s="6" t="s">
        <v>231</v>
      </c>
    </row>
    <row r="117" spans="1:9">
      <c r="A117" s="1" t="s">
        <v>232</v>
      </c>
      <c r="B117" s="2" t="s">
        <v>17</v>
      </c>
      <c r="C117" s="2" t="s">
        <v>44</v>
      </c>
      <c r="D117" s="2" t="s">
        <v>49</v>
      </c>
      <c r="E117" s="3">
        <v>44627</v>
      </c>
      <c r="F117" s="4">
        <v>42806</v>
      </c>
      <c r="G117" s="5">
        <v>4</v>
      </c>
      <c r="H117" s="2" t="s">
        <v>11</v>
      </c>
      <c r="I117" s="6" t="s">
        <v>151</v>
      </c>
    </row>
    <row r="118" spans="1:9">
      <c r="A118" s="1" t="s">
        <v>233</v>
      </c>
      <c r="B118" s="2" t="s">
        <v>56</v>
      </c>
      <c r="C118" s="2" t="s">
        <v>18</v>
      </c>
      <c r="D118" s="2" t="s">
        <v>19</v>
      </c>
      <c r="E118" s="3">
        <v>92343</v>
      </c>
      <c r="F118" s="4">
        <v>42813</v>
      </c>
      <c r="G118" s="5">
        <v>4</v>
      </c>
      <c r="H118" s="2" t="s">
        <v>37</v>
      </c>
      <c r="I118" s="6" t="s">
        <v>79</v>
      </c>
    </row>
    <row r="119" spans="1:9">
      <c r="A119" s="1" t="s">
        <v>234</v>
      </c>
      <c r="B119" s="2" t="s">
        <v>56</v>
      </c>
      <c r="C119" s="2" t="s">
        <v>44</v>
      </c>
      <c r="D119" s="2" t="s">
        <v>66</v>
      </c>
      <c r="E119" s="3">
        <v>38837</v>
      </c>
      <c r="F119" s="4">
        <v>42820</v>
      </c>
      <c r="G119" s="5">
        <v>5</v>
      </c>
      <c r="H119" s="2" t="s">
        <v>37</v>
      </c>
      <c r="I119" s="6" t="s">
        <v>159</v>
      </c>
    </row>
    <row r="120" spans="1:9">
      <c r="A120" s="1" t="s">
        <v>235</v>
      </c>
      <c r="B120" s="2" t="s">
        <v>56</v>
      </c>
      <c r="C120" s="2" t="s">
        <v>44</v>
      </c>
      <c r="D120" s="2" t="s">
        <v>11</v>
      </c>
      <c r="E120" s="3">
        <v>73483</v>
      </c>
      <c r="F120" s="4">
        <v>42827</v>
      </c>
      <c r="G120" s="5">
        <v>1</v>
      </c>
      <c r="H120" s="2" t="s">
        <v>11</v>
      </c>
      <c r="I120" s="6" t="s">
        <v>236</v>
      </c>
    </row>
    <row r="121" spans="1:9">
      <c r="A121" s="1" t="s">
        <v>237</v>
      </c>
      <c r="B121" s="2" t="s">
        <v>43</v>
      </c>
      <c r="C121" s="2" t="s">
        <v>27</v>
      </c>
      <c r="D121" s="2" t="s">
        <v>36</v>
      </c>
      <c r="E121" s="3">
        <v>95032</v>
      </c>
      <c r="F121" s="4">
        <v>42834</v>
      </c>
      <c r="G121" s="5">
        <v>3</v>
      </c>
      <c r="H121" s="2" t="s">
        <v>11</v>
      </c>
      <c r="I121" s="6" t="s">
        <v>238</v>
      </c>
    </row>
    <row r="122" spans="1:9">
      <c r="A122" s="1" t="s">
        <v>239</v>
      </c>
      <c r="B122" s="2" t="s">
        <v>17</v>
      </c>
      <c r="C122" s="2" t="s">
        <v>27</v>
      </c>
      <c r="D122" s="2" t="s">
        <v>66</v>
      </c>
      <c r="E122" s="3">
        <v>44358</v>
      </c>
      <c r="F122" s="4">
        <v>42841</v>
      </c>
      <c r="G122" s="5" t="s">
        <v>41</v>
      </c>
      <c r="H122" s="2" t="s">
        <v>37</v>
      </c>
      <c r="I122" s="6" t="s">
        <v>73</v>
      </c>
    </row>
    <row r="123" spans="1:9">
      <c r="A123" s="1" t="s">
        <v>240</v>
      </c>
      <c r="B123" s="2" t="s">
        <v>11</v>
      </c>
      <c r="C123" s="2" t="s">
        <v>35</v>
      </c>
      <c r="D123" s="2" t="s">
        <v>28</v>
      </c>
      <c r="E123" s="3" t="s">
        <v>13</v>
      </c>
      <c r="F123" s="4" t="s">
        <v>11</v>
      </c>
      <c r="G123" s="5">
        <v>5</v>
      </c>
      <c r="H123" s="2" t="s">
        <v>14</v>
      </c>
      <c r="I123" s="6" t="s">
        <v>241</v>
      </c>
    </row>
    <row r="124" spans="1:9">
      <c r="A124" s="1" t="s">
        <v>242</v>
      </c>
      <c r="B124" s="2" t="s">
        <v>43</v>
      </c>
      <c r="C124" s="2" t="s">
        <v>27</v>
      </c>
      <c r="D124" s="2" t="s">
        <v>28</v>
      </c>
      <c r="E124" s="3">
        <v>45676</v>
      </c>
      <c r="F124" s="4">
        <v>42855</v>
      </c>
      <c r="G124" s="5">
        <v>2</v>
      </c>
      <c r="H124" s="2" t="s">
        <v>11</v>
      </c>
      <c r="I124" s="6" t="s">
        <v>243</v>
      </c>
    </row>
    <row r="125" spans="1:9">
      <c r="A125" s="1" t="s">
        <v>244</v>
      </c>
      <c r="B125" s="2" t="s">
        <v>56</v>
      </c>
      <c r="C125" s="2" t="s">
        <v>27</v>
      </c>
      <c r="D125" s="2" t="s">
        <v>19</v>
      </c>
      <c r="E125" s="3">
        <v>52036</v>
      </c>
      <c r="F125" s="4">
        <v>42862</v>
      </c>
      <c r="G125" s="5">
        <v>3</v>
      </c>
      <c r="H125" s="2" t="s">
        <v>29</v>
      </c>
      <c r="I125" s="6" t="s">
        <v>245</v>
      </c>
    </row>
    <row r="126" spans="1:9">
      <c r="A126" s="1" t="s">
        <v>246</v>
      </c>
      <c r="B126" s="2" t="s">
        <v>32</v>
      </c>
      <c r="C126" s="2" t="s">
        <v>11</v>
      </c>
      <c r="D126" s="2" t="s">
        <v>19</v>
      </c>
      <c r="E126" s="3">
        <v>30357</v>
      </c>
      <c r="F126" s="4">
        <v>42869</v>
      </c>
      <c r="G126" s="5">
        <v>5</v>
      </c>
      <c r="H126" s="2" t="s">
        <v>29</v>
      </c>
      <c r="I126" s="6" t="s">
        <v>184</v>
      </c>
    </row>
    <row r="127" spans="1:9">
      <c r="A127" s="1" t="s">
        <v>247</v>
      </c>
      <c r="B127" s="2" t="s">
        <v>26</v>
      </c>
      <c r="C127" s="2" t="s">
        <v>35</v>
      </c>
      <c r="D127" s="2" t="s">
        <v>11</v>
      </c>
      <c r="E127" s="3">
        <v>60034</v>
      </c>
      <c r="F127" s="4">
        <v>42876</v>
      </c>
      <c r="G127" s="5">
        <v>1</v>
      </c>
      <c r="H127" s="2" t="s">
        <v>37</v>
      </c>
      <c r="I127" s="6" t="s">
        <v>248</v>
      </c>
    </row>
    <row r="128" spans="1:9">
      <c r="A128" s="1" t="s">
        <v>249</v>
      </c>
      <c r="B128" s="2" t="s">
        <v>26</v>
      </c>
      <c r="C128" s="2" t="s">
        <v>12</v>
      </c>
      <c r="D128" s="2" t="s">
        <v>11</v>
      </c>
      <c r="E128" s="3">
        <v>90019</v>
      </c>
      <c r="F128" s="4">
        <v>42883</v>
      </c>
      <c r="G128" s="5">
        <v>5</v>
      </c>
      <c r="H128" s="2" t="s">
        <v>11</v>
      </c>
      <c r="I128" s="6" t="s">
        <v>250</v>
      </c>
    </row>
    <row r="129" spans="1:9">
      <c r="A129" s="1" t="s">
        <v>251</v>
      </c>
      <c r="B129" s="2" t="s">
        <v>56</v>
      </c>
      <c r="C129" s="2" t="s">
        <v>11</v>
      </c>
      <c r="D129" s="2" t="s">
        <v>19</v>
      </c>
      <c r="E129" s="3">
        <v>71494</v>
      </c>
      <c r="F129" s="4">
        <v>42890</v>
      </c>
      <c r="G129" s="5">
        <v>3</v>
      </c>
      <c r="H129" s="2" t="s">
        <v>29</v>
      </c>
      <c r="I129" s="6" t="s">
        <v>252</v>
      </c>
    </row>
    <row r="130" spans="1:9">
      <c r="A130" s="1" t="s">
        <v>253</v>
      </c>
      <c r="B130" s="2" t="s">
        <v>26</v>
      </c>
      <c r="C130" s="2" t="s">
        <v>12</v>
      </c>
      <c r="D130" s="2" t="s">
        <v>28</v>
      </c>
      <c r="E130" s="3">
        <v>91953</v>
      </c>
      <c r="F130" s="4">
        <v>42897</v>
      </c>
      <c r="G130" s="5">
        <v>2</v>
      </c>
      <c r="H130" s="2" t="s">
        <v>29</v>
      </c>
      <c r="I130" s="6" t="s">
        <v>91</v>
      </c>
    </row>
    <row r="131" spans="1:9">
      <c r="A131" s="1" t="s">
        <v>254</v>
      </c>
      <c r="B131" s="2" t="s">
        <v>43</v>
      </c>
      <c r="C131" s="2" t="s">
        <v>27</v>
      </c>
      <c r="D131" s="2" t="s">
        <v>28</v>
      </c>
      <c r="E131" s="3">
        <v>30402</v>
      </c>
      <c r="F131" s="4">
        <v>42904</v>
      </c>
      <c r="G131" s="5">
        <v>1</v>
      </c>
      <c r="H131" s="2" t="s">
        <v>11</v>
      </c>
      <c r="I131" s="6" t="s">
        <v>255</v>
      </c>
    </row>
    <row r="132" spans="1:9">
      <c r="A132" s="1" t="s">
        <v>256</v>
      </c>
      <c r="B132" s="2" t="s">
        <v>56</v>
      </c>
      <c r="C132" s="2" t="s">
        <v>11</v>
      </c>
      <c r="D132" s="2" t="s">
        <v>49</v>
      </c>
      <c r="E132" s="3">
        <v>62994</v>
      </c>
      <c r="F132" s="4">
        <v>42911</v>
      </c>
      <c r="G132" s="5" t="s">
        <v>41</v>
      </c>
      <c r="H132" s="2" t="s">
        <v>11</v>
      </c>
      <c r="I132" s="6" t="s">
        <v>116</v>
      </c>
    </row>
    <row r="133" spans="1:9">
      <c r="A133" s="1" t="s">
        <v>257</v>
      </c>
      <c r="B133" s="2" t="s">
        <v>23</v>
      </c>
      <c r="C133" s="2" t="s">
        <v>27</v>
      </c>
      <c r="D133" s="2" t="s">
        <v>36</v>
      </c>
      <c r="E133" s="3">
        <v>48289</v>
      </c>
      <c r="F133" s="4" t="s">
        <v>11</v>
      </c>
      <c r="G133" s="5">
        <v>3</v>
      </c>
      <c r="H133" s="2" t="s">
        <v>29</v>
      </c>
      <c r="I133" s="6" t="s">
        <v>47</v>
      </c>
    </row>
    <row r="134" spans="1:9">
      <c r="A134" s="1" t="s">
        <v>258</v>
      </c>
      <c r="B134" s="2" t="s">
        <v>40</v>
      </c>
      <c r="C134" s="2" t="s">
        <v>44</v>
      </c>
      <c r="D134" s="2" t="s">
        <v>19</v>
      </c>
      <c r="E134" s="3">
        <v>34402</v>
      </c>
      <c r="F134" s="4">
        <v>42925</v>
      </c>
      <c r="G134" s="5">
        <v>3</v>
      </c>
      <c r="H134" s="2" t="s">
        <v>20</v>
      </c>
      <c r="I134" s="6" t="s">
        <v>110</v>
      </c>
    </row>
    <row r="135" spans="1:9">
      <c r="A135" s="1" t="s">
        <v>259</v>
      </c>
      <c r="B135" s="2" t="s">
        <v>17</v>
      </c>
      <c r="C135" s="2" t="s">
        <v>18</v>
      </c>
      <c r="D135" s="2" t="s">
        <v>28</v>
      </c>
      <c r="E135" s="3">
        <v>38678</v>
      </c>
      <c r="F135" s="4">
        <v>42932</v>
      </c>
      <c r="G135" s="5">
        <v>3</v>
      </c>
      <c r="H135" s="2" t="s">
        <v>20</v>
      </c>
      <c r="I135" s="6" t="s">
        <v>260</v>
      </c>
    </row>
    <row r="136" spans="1:9">
      <c r="A136" s="1" t="s">
        <v>261</v>
      </c>
      <c r="B136" s="2" t="s">
        <v>43</v>
      </c>
      <c r="C136" s="2" t="s">
        <v>18</v>
      </c>
      <c r="D136" s="2" t="s">
        <v>19</v>
      </c>
      <c r="E136" s="3">
        <v>45758</v>
      </c>
      <c r="F136" s="4">
        <v>42939</v>
      </c>
      <c r="G136" s="5">
        <v>3</v>
      </c>
      <c r="H136" s="2" t="s">
        <v>11</v>
      </c>
      <c r="I136" s="6" t="s">
        <v>227</v>
      </c>
    </row>
    <row r="137" spans="1:9">
      <c r="A137" s="1" t="s">
        <v>262</v>
      </c>
      <c r="B137" s="2" t="s">
        <v>17</v>
      </c>
      <c r="C137" s="2" t="s">
        <v>44</v>
      </c>
      <c r="D137" s="2" t="s">
        <v>36</v>
      </c>
      <c r="E137" s="3">
        <v>62476</v>
      </c>
      <c r="F137" s="4">
        <v>42946</v>
      </c>
      <c r="G137" s="5">
        <v>1</v>
      </c>
      <c r="H137" s="2" t="s">
        <v>20</v>
      </c>
      <c r="I137" s="6" t="s">
        <v>140</v>
      </c>
    </row>
    <row r="138" spans="1:9">
      <c r="A138" s="1" t="s">
        <v>263</v>
      </c>
      <c r="B138" s="2" t="s">
        <v>11</v>
      </c>
      <c r="C138" s="2" t="s">
        <v>35</v>
      </c>
      <c r="D138" s="2" t="s">
        <v>49</v>
      </c>
      <c r="E138" s="3">
        <v>39280</v>
      </c>
      <c r="F138" s="4">
        <v>42953</v>
      </c>
      <c r="G138" s="5">
        <v>3</v>
      </c>
      <c r="H138" s="2" t="s">
        <v>37</v>
      </c>
      <c r="I138" s="6" t="s">
        <v>101</v>
      </c>
    </row>
    <row r="139" spans="1:9">
      <c r="A139" s="1" t="s">
        <v>264</v>
      </c>
      <c r="B139" s="2" t="s">
        <v>32</v>
      </c>
      <c r="C139" s="2" t="s">
        <v>12</v>
      </c>
      <c r="D139" s="2" t="s">
        <v>36</v>
      </c>
      <c r="E139" s="3">
        <v>60335</v>
      </c>
      <c r="F139" s="4">
        <v>42960</v>
      </c>
      <c r="G139" s="5">
        <v>4</v>
      </c>
      <c r="H139" s="2" t="s">
        <v>20</v>
      </c>
      <c r="I139" s="6" t="s">
        <v>131</v>
      </c>
    </row>
    <row r="140" spans="1:9">
      <c r="A140" s="1" t="s">
        <v>265</v>
      </c>
      <c r="B140" s="2" t="s">
        <v>43</v>
      </c>
      <c r="C140" s="2" t="s">
        <v>18</v>
      </c>
      <c r="D140" s="2" t="s">
        <v>19</v>
      </c>
      <c r="E140" s="3">
        <v>84968</v>
      </c>
      <c r="F140" s="4">
        <v>42967</v>
      </c>
      <c r="G140" s="5" t="s">
        <v>41</v>
      </c>
      <c r="H140" s="2" t="s">
        <v>11</v>
      </c>
      <c r="I140" s="6" t="s">
        <v>266</v>
      </c>
    </row>
    <row r="141" spans="1:9">
      <c r="A141" s="1" t="s">
        <v>267</v>
      </c>
      <c r="B141" s="2" t="s">
        <v>43</v>
      </c>
      <c r="C141" s="2" t="s">
        <v>44</v>
      </c>
      <c r="D141" s="2" t="s">
        <v>66</v>
      </c>
      <c r="E141" s="3">
        <v>84750</v>
      </c>
      <c r="F141" s="4">
        <v>42974</v>
      </c>
      <c r="G141" s="5">
        <v>4</v>
      </c>
      <c r="H141" s="2" t="s">
        <v>37</v>
      </c>
      <c r="I141" s="6" t="s">
        <v>62</v>
      </c>
    </row>
    <row r="142" spans="1:9">
      <c r="A142" s="1" t="s">
        <v>268</v>
      </c>
      <c r="B142" s="2" t="s">
        <v>56</v>
      </c>
      <c r="C142" s="2" t="s">
        <v>35</v>
      </c>
      <c r="D142" s="2" t="s">
        <v>11</v>
      </c>
      <c r="E142" s="3">
        <v>73348</v>
      </c>
      <c r="F142" s="4">
        <v>42981</v>
      </c>
      <c r="G142" s="5">
        <v>2</v>
      </c>
      <c r="H142" s="2" t="s">
        <v>11</v>
      </c>
      <c r="I142" s="6" t="s">
        <v>173</v>
      </c>
    </row>
    <row r="143" spans="1:9">
      <c r="A143" s="1" t="s">
        <v>269</v>
      </c>
      <c r="B143" s="2" t="s">
        <v>43</v>
      </c>
      <c r="C143" s="2" t="s">
        <v>27</v>
      </c>
      <c r="D143" s="2" t="s">
        <v>28</v>
      </c>
      <c r="E143" s="3" t="s">
        <v>13</v>
      </c>
      <c r="F143" s="4">
        <v>42988</v>
      </c>
      <c r="G143" s="5">
        <v>4</v>
      </c>
      <c r="H143" s="2" t="s">
        <v>20</v>
      </c>
      <c r="I143" s="6" t="s">
        <v>15</v>
      </c>
    </row>
    <row r="144" spans="1:9">
      <c r="A144" s="1" t="s">
        <v>270</v>
      </c>
      <c r="B144" s="2" t="s">
        <v>32</v>
      </c>
      <c r="C144" s="2" t="s">
        <v>44</v>
      </c>
      <c r="D144" s="2" t="s">
        <v>28</v>
      </c>
      <c r="E144" s="3">
        <v>66882</v>
      </c>
      <c r="F144" s="4">
        <v>42995</v>
      </c>
      <c r="G144" s="5">
        <v>5</v>
      </c>
      <c r="H144" s="2" t="s">
        <v>20</v>
      </c>
      <c r="I144" s="6" t="s">
        <v>87</v>
      </c>
    </row>
    <row r="145" spans="1:9">
      <c r="A145" s="1" t="s">
        <v>271</v>
      </c>
      <c r="B145" s="2" t="s">
        <v>23</v>
      </c>
      <c r="C145" s="2" t="s">
        <v>44</v>
      </c>
      <c r="D145" s="2" t="s">
        <v>11</v>
      </c>
      <c r="E145" s="3">
        <v>86775</v>
      </c>
      <c r="F145" s="4">
        <v>43002</v>
      </c>
      <c r="G145" s="5">
        <v>3</v>
      </c>
      <c r="H145" s="2" t="s">
        <v>20</v>
      </c>
      <c r="I145" s="6" t="s">
        <v>97</v>
      </c>
    </row>
    <row r="146" spans="1:9">
      <c r="A146" s="1" t="s">
        <v>272</v>
      </c>
      <c r="B146" s="2" t="s">
        <v>43</v>
      </c>
      <c r="C146" s="2" t="s">
        <v>27</v>
      </c>
      <c r="D146" s="2" t="s">
        <v>49</v>
      </c>
      <c r="E146" s="3">
        <v>91620</v>
      </c>
      <c r="F146" s="4">
        <v>43009</v>
      </c>
      <c r="G146" s="5" t="s">
        <v>41</v>
      </c>
      <c r="H146" s="2" t="s">
        <v>11</v>
      </c>
      <c r="I146" s="6" t="s">
        <v>273</v>
      </c>
    </row>
    <row r="147" spans="1:9">
      <c r="A147" s="1" t="s">
        <v>274</v>
      </c>
      <c r="B147" s="2" t="s">
        <v>17</v>
      </c>
      <c r="C147" s="2" t="s">
        <v>11</v>
      </c>
      <c r="D147" s="2" t="s">
        <v>11</v>
      </c>
      <c r="E147" s="3">
        <v>94148</v>
      </c>
      <c r="F147" s="4">
        <v>43016</v>
      </c>
      <c r="G147" s="5">
        <v>2</v>
      </c>
      <c r="H147" s="2" t="s">
        <v>11</v>
      </c>
      <c r="I147" s="6" t="s">
        <v>275</v>
      </c>
    </row>
    <row r="148" spans="1:9">
      <c r="A148" s="1" t="s">
        <v>276</v>
      </c>
      <c r="B148" s="2" t="s">
        <v>40</v>
      </c>
      <c r="C148" s="2" t="s">
        <v>27</v>
      </c>
      <c r="D148" s="2" t="s">
        <v>66</v>
      </c>
      <c r="E148" s="3">
        <v>35627</v>
      </c>
      <c r="F148" s="4">
        <v>43023</v>
      </c>
      <c r="G148" s="5">
        <v>5</v>
      </c>
      <c r="H148" s="2" t="s">
        <v>37</v>
      </c>
      <c r="I148" s="6" t="s">
        <v>260</v>
      </c>
    </row>
    <row r="149" spans="1:9">
      <c r="A149" s="1" t="s">
        <v>277</v>
      </c>
      <c r="B149" s="2" t="s">
        <v>26</v>
      </c>
      <c r="C149" s="2" t="s">
        <v>44</v>
      </c>
      <c r="D149" s="2" t="s">
        <v>28</v>
      </c>
      <c r="E149" s="3">
        <v>57141</v>
      </c>
      <c r="F149" s="4">
        <v>43030</v>
      </c>
      <c r="G149" s="5">
        <v>2</v>
      </c>
      <c r="H149" s="2" t="s">
        <v>11</v>
      </c>
      <c r="I149" s="6" t="s">
        <v>266</v>
      </c>
    </row>
    <row r="150" spans="1:9">
      <c r="A150" s="1" t="s">
        <v>278</v>
      </c>
      <c r="B150" s="2" t="s">
        <v>56</v>
      </c>
      <c r="C150" s="2" t="s">
        <v>27</v>
      </c>
      <c r="D150" s="2" t="s">
        <v>66</v>
      </c>
      <c r="E150" s="3">
        <v>65270</v>
      </c>
      <c r="F150" s="4">
        <v>43037</v>
      </c>
      <c r="G150" s="5">
        <v>1</v>
      </c>
      <c r="H150" s="2" t="s">
        <v>11</v>
      </c>
      <c r="I150" s="6" t="s">
        <v>279</v>
      </c>
    </row>
    <row r="151" spans="1:9">
      <c r="A151" s="1" t="s">
        <v>280</v>
      </c>
      <c r="B151" s="2" t="s">
        <v>56</v>
      </c>
      <c r="C151" s="2" t="s">
        <v>11</v>
      </c>
      <c r="D151" s="2" t="s">
        <v>49</v>
      </c>
      <c r="E151" s="3">
        <v>67335</v>
      </c>
      <c r="F151" s="4">
        <v>43044</v>
      </c>
      <c r="G151" s="5">
        <v>1</v>
      </c>
      <c r="H151" s="2" t="s">
        <v>20</v>
      </c>
      <c r="I151" s="6" t="s">
        <v>146</v>
      </c>
    </row>
    <row r="152" spans="1:9">
      <c r="A152" s="7" t="s">
        <v>281</v>
      </c>
      <c r="B152" s="8" t="s">
        <v>40</v>
      </c>
      <c r="C152" s="8" t="s">
        <v>44</v>
      </c>
      <c r="D152" s="8" t="s">
        <v>36</v>
      </c>
      <c r="E152" s="9">
        <v>98475</v>
      </c>
      <c r="F152" s="10">
        <v>43051</v>
      </c>
      <c r="G152" s="11">
        <v>5</v>
      </c>
      <c r="H152" s="8" t="s">
        <v>20</v>
      </c>
      <c r="I152" s="12" t="s">
        <v>282</v>
      </c>
    </row>
  </sheetData>
  <mergeCells count="1">
    <mergeCell ref="A1:I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A799-4A64-49A5-B596-F9ADF7B9F74D}">
  <dimension ref="A1:U156"/>
  <sheetViews>
    <sheetView tabSelected="1" workbookViewId="0">
      <selection activeCell="L2" sqref="L2:R2"/>
    </sheetView>
  </sheetViews>
  <sheetFormatPr defaultRowHeight="15"/>
  <cols>
    <col min="1" max="1" width="5.7109375" style="35" customWidth="1"/>
    <col min="2" max="2" width="8.140625" style="38" customWidth="1"/>
    <col min="3" max="3" width="15.85546875" style="35" customWidth="1"/>
    <col min="4" max="4" width="13.42578125" style="35" customWidth="1"/>
    <col min="5" max="5" width="13.7109375" style="35" customWidth="1"/>
    <col min="6" max="6" width="13.5703125" style="21" customWidth="1"/>
    <col min="7" max="7" width="15.140625" style="18" customWidth="1"/>
    <col min="8" max="8" width="12.42578125" style="36" customWidth="1"/>
    <col min="9" max="9" width="12.85546875" style="35" customWidth="1"/>
    <col min="10" max="10" width="23.140625" style="35" customWidth="1"/>
    <col min="12" max="12" width="19" customWidth="1"/>
    <col min="13" max="13" width="12.85546875" customWidth="1"/>
    <col min="18" max="18" width="14.42578125" customWidth="1"/>
  </cols>
  <sheetData>
    <row r="1" spans="1:21" ht="26.25" customHeight="1">
      <c r="A1" s="47" t="s">
        <v>283</v>
      </c>
      <c r="B1" s="48"/>
      <c r="C1" s="48"/>
      <c r="D1" s="48"/>
      <c r="E1" s="48"/>
      <c r="F1" s="48"/>
      <c r="G1" s="48"/>
      <c r="H1" s="48"/>
      <c r="I1" s="48"/>
      <c r="J1" s="48"/>
    </row>
    <row r="2" spans="1:21" ht="26.25" customHeight="1">
      <c r="A2" s="29" t="s">
        <v>1</v>
      </c>
      <c r="B2" s="29"/>
      <c r="C2" s="24" t="s">
        <v>2</v>
      </c>
      <c r="D2" s="24" t="s">
        <v>3</v>
      </c>
      <c r="E2" s="24" t="s">
        <v>4</v>
      </c>
      <c r="F2" s="20" t="s">
        <v>5</v>
      </c>
      <c r="G2" s="15" t="s">
        <v>6</v>
      </c>
      <c r="H2" s="24" t="s">
        <v>7</v>
      </c>
      <c r="I2" s="24" t="s">
        <v>8</v>
      </c>
      <c r="J2" s="17" t="s">
        <v>9</v>
      </c>
      <c r="L2" s="46" t="s">
        <v>284</v>
      </c>
      <c r="M2" s="29"/>
      <c r="N2" s="29"/>
      <c r="O2" s="29"/>
      <c r="P2" s="29"/>
      <c r="Q2" s="29"/>
      <c r="R2" s="45"/>
    </row>
    <row r="3" spans="1:21" ht="15" customHeight="1">
      <c r="A3" s="35" t="str">
        <f>CLEAN(TRIM(LEFT('Raw data for Day5'!A3,3)))</f>
        <v>EMP</v>
      </c>
      <c r="B3" s="38" t="str">
        <f>CLEAN(TRIM(RIGHT('Raw data for Day5'!A3,4)))</f>
        <v>1000</v>
      </c>
      <c r="C3" s="35" t="str">
        <f>CLEAN(TRIM(PROPER('Raw data for Day5'!B3)))</f>
        <v>Un-Known</v>
      </c>
      <c r="D3" s="37" t="str">
        <f>CLEAN(TRIM(IF('Raw data for Day5'!C3="finance",PROPER('Raw data for Day5'!C3),IF('Raw data for Day5'!C3="hr", UPPER('Raw data for Day5'!C3),IF('Raw data for Day5'!C3="it",UPPER('Raw data for Day5'!C3),IF('Raw data for Day5'!C3="sales",PROPER('Raw data for Day5'!C3),IF('Raw data for Day5'!C3="marketing",PROPER('Raw data for Day5'!C3),"Un-known")))))))</f>
        <v>Finance</v>
      </c>
      <c r="E3" s="37" t="str">
        <f>CLEAN(TRIM(IF('Raw data for Day5'!D3="germany",PROPER('Raw data for Day5'!D3),IF('Raw data for Day5'!D3="usa",UPPER('Raw data for Day5'!D3),IF('Raw data for Day5'!D3="uk",UPPER('Raw data for Day5'!D3),IF('Raw data for Day5'!D3="india",PROPER('Raw data for Day5'!D3),'Raw data for Day5'!D3))))))</f>
        <v>Un-known</v>
      </c>
      <c r="F3" s="21" t="str">
        <f>'Raw data for Day5'!E3</f>
        <v>0</v>
      </c>
      <c r="G3" s="22" t="str">
        <f>'Raw data for Day5'!F3</f>
        <v>Un-known</v>
      </c>
      <c r="H3" s="36" t="str">
        <f>CLEAN(TRIM('Raw data for Day5'!G3))</f>
        <v>2</v>
      </c>
      <c r="I3" s="35" t="str">
        <f>CLEAN(TRIM('Raw data for Day5'!H3))</f>
        <v>Unknown</v>
      </c>
      <c r="J3" s="35" t="str">
        <f>CLEAN(TRIM(LOWER('Raw data for Day5'!I3)))</f>
        <v>invalid_email</v>
      </c>
      <c r="L3" s="40" t="s">
        <v>1</v>
      </c>
      <c r="M3" s="32" t="s">
        <v>285</v>
      </c>
      <c r="N3" s="28"/>
      <c r="O3" s="28"/>
      <c r="P3" s="28"/>
      <c r="Q3" s="28"/>
      <c r="R3" s="28"/>
      <c r="S3" s="19"/>
      <c r="T3" s="19"/>
      <c r="U3" s="19"/>
    </row>
    <row r="4" spans="1:21">
      <c r="A4" s="35" t="str">
        <f>CLEAN(TRIM(LEFT('Raw data for Day5'!A4,3)))</f>
        <v>EMP</v>
      </c>
      <c r="B4" s="38" t="str">
        <f>CLEAN(TRIM(RIGHT('Raw data for Day5'!A4,4)))</f>
        <v>1001</v>
      </c>
      <c r="C4" s="35" t="str">
        <f>CLEAN(TRIM(PROPER('Raw data for Day5'!B4)))</f>
        <v>Eve Adams</v>
      </c>
      <c r="D4" s="37" t="str">
        <f>CLEAN(TRIM(IF('Raw data for Day5'!C4="finance",PROPER('Raw data for Day5'!C4),IF('Raw data for Day5'!C4="hr", UPPER('Raw data for Day5'!C4),IF('Raw data for Day5'!C4="it",UPPER('Raw data for Day5'!C4),IF('Raw data for Day5'!C4="sales",PROPER('Raw data for Day5'!C4),IF('Raw data for Day5'!C4="marketing",PROPER('Raw data for Day5'!C4),"Un-known")))))))</f>
        <v>HR</v>
      </c>
      <c r="E4" s="37" t="str">
        <f>CLEAN(TRIM(IF('Raw data for Day5'!D4="germany",PROPER('Raw data for Day5'!D4),IF('Raw data for Day5'!D4="usa",UPPER('Raw data for Day5'!D4),IF('Raw data for Day5'!D4="uk",UPPER('Raw data for Day5'!D4),IF('Raw data for Day5'!D4="india",PROPER('Raw data for Day5'!D4),'Raw data for Day5'!D4))))))</f>
        <v>Germany</v>
      </c>
      <c r="F4" s="21">
        <f>'Raw data for Day5'!E4</f>
        <v>54255</v>
      </c>
      <c r="G4" s="22">
        <f>'Raw data for Day5'!F4</f>
        <v>42015</v>
      </c>
      <c r="H4" s="36" t="str">
        <f>CLEAN(TRIM('Raw data for Day5'!G4))</f>
        <v>1</v>
      </c>
      <c r="I4" s="35" t="str">
        <f>CLEAN(TRIM('Raw data for Day5'!H4))</f>
        <v>Other</v>
      </c>
      <c r="J4" s="35" t="str">
        <f>CLEAN(TRIM(LOWER('Raw data for Day5'!I4)))</f>
        <v>user106@example.com</v>
      </c>
      <c r="L4" s="40"/>
      <c r="M4" s="28"/>
      <c r="N4" s="28"/>
      <c r="O4" s="28"/>
      <c r="P4" s="28"/>
      <c r="Q4" s="28"/>
      <c r="R4" s="28"/>
      <c r="S4" s="23"/>
      <c r="T4" s="23"/>
      <c r="U4" s="23"/>
    </row>
    <row r="5" spans="1:21" ht="15" customHeight="1">
      <c r="A5" s="35" t="str">
        <f>CLEAN(TRIM(LEFT('Raw data for Day5'!A5,3)))</f>
        <v>EMP</v>
      </c>
      <c r="B5" s="38" t="str">
        <f>CLEAN(TRIM(RIGHT('Raw data for Day5'!A5,4)))</f>
        <v>1002</v>
      </c>
      <c r="C5" s="35" t="str">
        <f>CLEAN(TRIM(PROPER('Raw data for Day5'!B5)))</f>
        <v>Alice Brown</v>
      </c>
      <c r="D5" s="37" t="str">
        <f>CLEAN(TRIM(IF('Raw data for Day5'!C5="finance",PROPER('Raw data for Day5'!C5),IF('Raw data for Day5'!C5="hr", UPPER('Raw data for Day5'!C5),IF('Raw data for Day5'!C5="it",UPPER('Raw data for Day5'!C5),IF('Raw data for Day5'!C5="sales",PROPER('Raw data for Day5'!C5),IF('Raw data for Day5'!C5="marketing",PROPER('Raw data for Day5'!C5),"Un-known")))))))</f>
        <v>Finance</v>
      </c>
      <c r="E5" s="37" t="str">
        <f>CLEAN(TRIM(IF('Raw data for Day5'!D5="germany",PROPER('Raw data for Day5'!D5),IF('Raw data for Day5'!D5="usa",UPPER('Raw data for Day5'!D5),IF('Raw data for Day5'!D5="uk",UPPER('Raw data for Day5'!D5),IF('Raw data for Day5'!D5="india",PROPER('Raw data for Day5'!D5),'Raw data for Day5'!D5))))))</f>
        <v>Germany</v>
      </c>
      <c r="F5" s="21">
        <f>'Raw data for Day5'!E5</f>
        <v>63184</v>
      </c>
      <c r="G5" s="22">
        <f>'Raw data for Day5'!F5</f>
        <v>42022</v>
      </c>
      <c r="H5" s="36" t="str">
        <f>CLEAN(TRIM('Raw data for Day5'!G5))</f>
        <v>2</v>
      </c>
      <c r="I5" s="35" t="str">
        <f>CLEAN(TRIM('Raw data for Day5'!H5))</f>
        <v>Un-known</v>
      </c>
      <c r="J5" s="35" t="str">
        <f>CLEAN(TRIM(LOWER('Raw data for Day5'!I5)))</f>
        <v>user176@example.com</v>
      </c>
      <c r="L5" s="41" t="s">
        <v>2</v>
      </c>
      <c r="M5" s="33" t="s">
        <v>286</v>
      </c>
      <c r="N5" s="28"/>
      <c r="O5" s="28"/>
      <c r="P5" s="28"/>
      <c r="Q5" s="28"/>
      <c r="R5" s="28"/>
    </row>
    <row r="6" spans="1:21">
      <c r="A6" s="35" t="str">
        <f>CLEAN(TRIM(LEFT('Raw data for Day5'!A6,3)))</f>
        <v>EMP</v>
      </c>
      <c r="B6" s="38" t="str">
        <f>CLEAN(TRIM(RIGHT('Raw data for Day5'!A6,4)))</f>
        <v>1003</v>
      </c>
      <c r="C6" s="35" t="str">
        <f>CLEAN(TRIM(PROPER('Raw data for Day5'!B6)))</f>
        <v>John Doe</v>
      </c>
      <c r="D6" s="37" t="str">
        <f>CLEAN(TRIM(IF('Raw data for Day5'!C6="finance",PROPER('Raw data for Day5'!C6),IF('Raw data for Day5'!C6="hr", UPPER('Raw data for Day5'!C6),IF('Raw data for Day5'!C6="it",UPPER('Raw data for Day5'!C6),IF('Raw data for Day5'!C6="sales",PROPER('Raw data for Day5'!C6),IF('Raw data for Day5'!C6="marketing",PROPER('Raw data for Day5'!C6),"Un-known")))))))</f>
        <v>Sales</v>
      </c>
      <c r="E6" s="37" t="str">
        <f>CLEAN(TRIM(IF('Raw data for Day5'!D6="germany",PROPER('Raw data for Day5'!D6),IF('Raw data for Day5'!D6="usa",UPPER('Raw data for Day5'!D6),IF('Raw data for Day5'!D6="uk",UPPER('Raw data for Day5'!D6),IF('Raw data for Day5'!D6="india",PROPER('Raw data for Day5'!D6),'Raw data for Day5'!D6))))))</f>
        <v>USA</v>
      </c>
      <c r="F6" s="21">
        <f>'Raw data for Day5'!E6</f>
        <v>94406</v>
      </c>
      <c r="G6" s="22">
        <f>'Raw data for Day5'!F6</f>
        <v>42029</v>
      </c>
      <c r="H6" s="36" t="str">
        <f>CLEAN(TRIM('Raw data for Day5'!G6))</f>
        <v>1</v>
      </c>
      <c r="I6" s="35" t="str">
        <f>CLEAN(TRIM('Raw data for Day5'!H6))</f>
        <v>Male</v>
      </c>
      <c r="J6" s="35" t="str">
        <f>CLEAN(TRIM(LOWER('Raw data for Day5'!I6)))</f>
        <v>user168@example.com</v>
      </c>
      <c r="L6" s="40" t="s">
        <v>3</v>
      </c>
      <c r="M6" s="32" t="s">
        <v>287</v>
      </c>
      <c r="N6" s="28"/>
      <c r="O6" s="28"/>
      <c r="P6" s="28"/>
      <c r="Q6" s="28"/>
      <c r="R6" s="28"/>
    </row>
    <row r="7" spans="1:21">
      <c r="A7" s="35" t="str">
        <f>CLEAN(TRIM(LEFT('Raw data for Day5'!A7,3)))</f>
        <v>EMP</v>
      </c>
      <c r="B7" s="38" t="str">
        <f>CLEAN(TRIM(RIGHT('Raw data for Day5'!A7,4)))</f>
        <v>1004</v>
      </c>
      <c r="C7" s="35" t="str">
        <f>CLEAN(TRIM(PROPER('Raw data for Day5'!B7)))</f>
        <v>Jane Smith</v>
      </c>
      <c r="D7" s="37" t="str">
        <f>CLEAN(TRIM(IF('Raw data for Day5'!C7="finance",PROPER('Raw data for Day5'!C7),IF('Raw data for Day5'!C7="hr", UPPER('Raw data for Day5'!C7),IF('Raw data for Day5'!C7="it",UPPER('Raw data for Day5'!C7),IF('Raw data for Day5'!C7="sales",PROPER('Raw data for Day5'!C7),IF('Raw data for Day5'!C7="marketing",PROPER('Raw data for Day5'!C7),"Un-known")))))))</f>
        <v>Sales</v>
      </c>
      <c r="E7" s="37" t="str">
        <f>CLEAN(TRIM(IF('Raw data for Day5'!D7="germany",PROPER('Raw data for Day5'!D7),IF('Raw data for Day5'!D7="usa",UPPER('Raw data for Day5'!D7),IF('Raw data for Day5'!D7="uk",UPPER('Raw data for Day5'!D7),IF('Raw data for Day5'!D7="india",PROPER('Raw data for Day5'!D7),'Raw data for Day5'!D7))))))</f>
        <v>Germany</v>
      </c>
      <c r="F7" s="21">
        <f>'Raw data for Day5'!E7</f>
        <v>64120</v>
      </c>
      <c r="G7" s="22">
        <f>'Raw data for Day5'!F7</f>
        <v>42036</v>
      </c>
      <c r="H7" s="36" t="str">
        <f>CLEAN(TRIM('Raw data for Day5'!G7))</f>
        <v>1</v>
      </c>
      <c r="I7" s="35" t="str">
        <f>CLEAN(TRIM('Raw data for Day5'!H7))</f>
        <v>Male</v>
      </c>
      <c r="J7" s="35" t="str">
        <f>CLEAN(TRIM(LOWER('Raw data for Day5'!I7)))</f>
        <v>user49@example.com</v>
      </c>
      <c r="L7" s="40"/>
      <c r="M7" s="28"/>
      <c r="N7" s="28"/>
      <c r="O7" s="28"/>
      <c r="P7" s="28"/>
      <c r="Q7" s="28"/>
      <c r="R7" s="28"/>
    </row>
    <row r="8" spans="1:21">
      <c r="A8" s="35" t="str">
        <f>CLEAN(TRIM(LEFT('Raw data for Day5'!A8,3)))</f>
        <v>EMP</v>
      </c>
      <c r="B8" s="38" t="str">
        <f>CLEAN(TRIM(RIGHT('Raw data for Day5'!A8,4)))</f>
        <v>1005</v>
      </c>
      <c r="C8" s="35" t="str">
        <f>CLEAN(TRIM(PROPER('Raw data for Day5'!B8)))</f>
        <v>Alice Brown</v>
      </c>
      <c r="D8" s="37" t="str">
        <f>CLEAN(TRIM(IF('Raw data for Day5'!C8="finance",PROPER('Raw data for Day5'!C8),IF('Raw data for Day5'!C8="hr", UPPER('Raw data for Day5'!C8),IF('Raw data for Day5'!C8="it",UPPER('Raw data for Day5'!C8),IF('Raw data for Day5'!C8="sales",PROPER('Raw data for Day5'!C8),IF('Raw data for Day5'!C8="marketing",PROPER('Raw data for Day5'!C8),"Un-known")))))))</f>
        <v>IT</v>
      </c>
      <c r="E8" s="37" t="str">
        <f>CLEAN(TRIM(IF('Raw data for Day5'!D8="germany",PROPER('Raw data for Day5'!D8),IF('Raw data for Day5'!D8="usa",UPPER('Raw data for Day5'!D8),IF('Raw data for Day5'!D8="uk",UPPER('Raw data for Day5'!D8),IF('Raw data for Day5'!D8="india",PROPER('Raw data for Day5'!D8),'Raw data for Day5'!D8))))))</f>
        <v>India</v>
      </c>
      <c r="F8" s="21">
        <f>'Raw data for Day5'!E8</f>
        <v>78421</v>
      </c>
      <c r="G8" s="22">
        <f>'Raw data for Day5'!F8</f>
        <v>42043</v>
      </c>
      <c r="H8" s="36" t="str">
        <f>CLEAN(TRIM('Raw data for Day5'!G8))</f>
        <v>2</v>
      </c>
      <c r="I8" s="35" t="str">
        <f>CLEAN(TRIM('Raw data for Day5'!H8))</f>
        <v>Female</v>
      </c>
      <c r="J8" s="35" t="str">
        <f>CLEAN(TRIM(LOWER('Raw data for Day5'!I8)))</f>
        <v>user24@example.com</v>
      </c>
      <c r="L8" s="40" t="s">
        <v>4</v>
      </c>
      <c r="M8" s="31" t="s">
        <v>288</v>
      </c>
      <c r="N8" s="27"/>
      <c r="O8" s="27"/>
      <c r="P8" s="27"/>
      <c r="Q8" s="27"/>
      <c r="R8" s="27"/>
    </row>
    <row r="9" spans="1:21">
      <c r="A9" s="35" t="str">
        <f>CLEAN(TRIM(LEFT('Raw data for Day5'!A9,3)))</f>
        <v>EMP</v>
      </c>
      <c r="B9" s="38" t="str">
        <f>CLEAN(TRIM(RIGHT('Raw data for Day5'!A9,4)))</f>
        <v>1006</v>
      </c>
      <c r="C9" s="35" t="str">
        <f>CLEAN(TRIM(PROPER('Raw data for Day5'!B9)))</f>
        <v>Sam Wilson</v>
      </c>
      <c r="D9" s="37" t="str">
        <f>CLEAN(TRIM(IF('Raw data for Day5'!C9="finance",PROPER('Raw data for Day5'!C9),IF('Raw data for Day5'!C9="hr", UPPER('Raw data for Day5'!C9),IF('Raw data for Day5'!C9="it",UPPER('Raw data for Day5'!C9),IF('Raw data for Day5'!C9="sales",PROPER('Raw data for Day5'!C9),IF('Raw data for Day5'!C9="marketing",PROPER('Raw data for Day5'!C9),"Un-known")))))))</f>
        <v>Sales</v>
      </c>
      <c r="E9" s="37" t="str">
        <f>CLEAN(TRIM(IF('Raw data for Day5'!D9="germany",PROPER('Raw data for Day5'!D9),IF('Raw data for Day5'!D9="usa",UPPER('Raw data for Day5'!D9),IF('Raw data for Day5'!D9="uk",UPPER('Raw data for Day5'!D9),IF('Raw data for Day5'!D9="india",PROPER('Raw data for Day5'!D9),'Raw data for Day5'!D9))))))</f>
        <v>Un-known</v>
      </c>
      <c r="F9" s="21">
        <f>'Raw data for Day5'!E9</f>
        <v>67721</v>
      </c>
      <c r="G9" s="22">
        <f>'Raw data for Day5'!F9</f>
        <v>42050</v>
      </c>
      <c r="H9" s="36" t="str">
        <f>CLEAN(TRIM('Raw data for Day5'!G9))</f>
        <v>N/A</v>
      </c>
      <c r="I9" s="35" t="str">
        <f>CLEAN(TRIM('Raw data for Day5'!H9))</f>
        <v>Male</v>
      </c>
      <c r="J9" s="35" t="str">
        <f>CLEAN(TRIM(LOWER('Raw data for Day5'!I9)))</f>
        <v>user168@example.com</v>
      </c>
      <c r="L9" s="40"/>
      <c r="M9" s="27"/>
      <c r="N9" s="27"/>
      <c r="O9" s="27"/>
      <c r="P9" s="27"/>
      <c r="Q9" s="27"/>
      <c r="R9" s="27"/>
    </row>
    <row r="10" spans="1:21">
      <c r="A10" s="35" t="str">
        <f>CLEAN(TRIM(LEFT('Raw data for Day5'!A10,3)))</f>
        <v>EMP</v>
      </c>
      <c r="B10" s="38" t="str">
        <f>CLEAN(TRIM(RIGHT('Raw data for Day5'!A10,4)))</f>
        <v>1007</v>
      </c>
      <c r="C10" s="35" t="str">
        <f>CLEAN(TRIM(PROPER('Raw data for Day5'!B10)))</f>
        <v>Chris Lee</v>
      </c>
      <c r="D10" s="37" t="str">
        <f>CLEAN(TRIM(IF('Raw data for Day5'!C10="finance",PROPER('Raw data for Day5'!C10),IF('Raw data for Day5'!C10="hr", UPPER('Raw data for Day5'!C10),IF('Raw data for Day5'!C10="it",UPPER('Raw data for Day5'!C10),IF('Raw data for Day5'!C10="sales",PROPER('Raw data for Day5'!C10),IF('Raw data for Day5'!C10="marketing",PROPER('Raw data for Day5'!C10),"Un-known")))))))</f>
        <v>Marketing</v>
      </c>
      <c r="E10" s="37" t="str">
        <f>CLEAN(TRIM(IF('Raw data for Day5'!D10="germany",PROPER('Raw data for Day5'!D10),IF('Raw data for Day5'!D10="usa",UPPER('Raw data for Day5'!D10),IF('Raw data for Day5'!D10="uk",UPPER('Raw data for Day5'!D10),IF('Raw data for Day5'!D10="india",PROPER('Raw data for Day5'!D10),'Raw data for Day5'!D10))))))</f>
        <v>Un-known</v>
      </c>
      <c r="F10" s="21">
        <f>'Raw data for Day5'!E10</f>
        <v>35364</v>
      </c>
      <c r="G10" s="22">
        <f>'Raw data for Day5'!F10</f>
        <v>42057</v>
      </c>
      <c r="H10" s="36" t="str">
        <f>CLEAN(TRIM('Raw data for Day5'!G10))</f>
        <v>2</v>
      </c>
      <c r="I10" s="35" t="str">
        <f>CLEAN(TRIM('Raw data for Day5'!H10))</f>
        <v>Other</v>
      </c>
      <c r="J10" s="35" t="str">
        <f>CLEAN(TRIM(LOWER('Raw data for Day5'!I10)))</f>
        <v>user26@example.com</v>
      </c>
      <c r="L10" s="40" t="s">
        <v>9</v>
      </c>
      <c r="M10" s="30" t="s">
        <v>289</v>
      </c>
      <c r="N10" s="27"/>
      <c r="O10" s="27"/>
      <c r="P10" s="27"/>
      <c r="Q10" s="27"/>
      <c r="R10" s="27"/>
    </row>
    <row r="11" spans="1:21">
      <c r="A11" s="35" t="str">
        <f>CLEAN(TRIM(LEFT('Raw data for Day5'!A11,3)))</f>
        <v>EMP</v>
      </c>
      <c r="B11" s="38" t="str">
        <f>CLEAN(TRIM(RIGHT('Raw data for Day5'!A11,4)))</f>
        <v>1008</v>
      </c>
      <c r="C11" s="35" t="str">
        <f>CLEAN(TRIM(PROPER('Raw data for Day5'!B11)))</f>
        <v>Alice Brown</v>
      </c>
      <c r="D11" s="37" t="str">
        <f>CLEAN(TRIM(IF('Raw data for Day5'!C11="finance",PROPER('Raw data for Day5'!C11),IF('Raw data for Day5'!C11="hr", UPPER('Raw data for Day5'!C11),IF('Raw data for Day5'!C11="it",UPPER('Raw data for Day5'!C11),IF('Raw data for Day5'!C11="sales",PROPER('Raw data for Day5'!C11),IF('Raw data for Day5'!C11="marketing",PROPER('Raw data for Day5'!C11),"Un-known")))))))</f>
        <v>IT</v>
      </c>
      <c r="E11" s="37" t="str">
        <f>CLEAN(TRIM(IF('Raw data for Day5'!D11="germany",PROPER('Raw data for Day5'!D11),IF('Raw data for Day5'!D11="usa",UPPER('Raw data for Day5'!D11),IF('Raw data for Day5'!D11="uk",UPPER('Raw data for Day5'!D11),IF('Raw data for Day5'!D11="india",PROPER('Raw data for Day5'!D11),'Raw data for Day5'!D11))))))</f>
        <v>Germany</v>
      </c>
      <c r="F11" s="21">
        <f>'Raw data for Day5'!E11</f>
        <v>97881</v>
      </c>
      <c r="G11" s="22">
        <f>'Raw data for Day5'!F11</f>
        <v>42064</v>
      </c>
      <c r="H11" s="36" t="str">
        <f>CLEAN(TRIM('Raw data for Day5'!G11))</f>
        <v>N/A</v>
      </c>
      <c r="I11" s="35" t="str">
        <f>CLEAN(TRIM('Raw data for Day5'!H11))</f>
        <v>Female</v>
      </c>
      <c r="J11" s="35" t="str">
        <f>CLEAN(TRIM(LOWER('Raw data for Day5'!I11)))</f>
        <v>user25@example.com</v>
      </c>
      <c r="L11" s="40"/>
      <c r="M11" s="27"/>
      <c r="N11" s="27"/>
      <c r="O11" s="27"/>
      <c r="P11" s="27"/>
      <c r="Q11" s="27"/>
      <c r="R11" s="27"/>
    </row>
    <row r="12" spans="1:21">
      <c r="A12" s="35" t="str">
        <f>CLEAN(TRIM(LEFT('Raw data for Day5'!A12,3)))</f>
        <v>EMP</v>
      </c>
      <c r="B12" s="38" t="str">
        <f>CLEAN(TRIM(RIGHT('Raw data for Day5'!A12,4)))</f>
        <v>1009</v>
      </c>
      <c r="C12" s="35" t="str">
        <f>CLEAN(TRIM(PROPER('Raw data for Day5'!B12)))</f>
        <v>Chris Lee</v>
      </c>
      <c r="D12" s="37" t="str">
        <f>CLEAN(TRIM(IF('Raw data for Day5'!C12="finance",PROPER('Raw data for Day5'!C12),IF('Raw data for Day5'!C12="hr", UPPER('Raw data for Day5'!C12),IF('Raw data for Day5'!C12="it",UPPER('Raw data for Day5'!C12),IF('Raw data for Day5'!C12="sales",PROPER('Raw data for Day5'!C12),IF('Raw data for Day5'!C12="marketing",PROPER('Raw data for Day5'!C12),"Un-known")))))))</f>
        <v>HR</v>
      </c>
      <c r="E12" s="37" t="str">
        <f>CLEAN(TRIM(IF('Raw data for Day5'!D12="germany",PROPER('Raw data for Day5'!D12),IF('Raw data for Day5'!D12="usa",UPPER('Raw data for Day5'!D12),IF('Raw data for Day5'!D12="uk",UPPER('Raw data for Day5'!D12),IF('Raw data for Day5'!D12="india",PROPER('Raw data for Day5'!D12),'Raw data for Day5'!D12))))))</f>
        <v>UK</v>
      </c>
      <c r="F12" s="21">
        <f>'Raw data for Day5'!E12</f>
        <v>91846</v>
      </c>
      <c r="G12" s="22">
        <f>'Raw data for Day5'!F12</f>
        <v>42071</v>
      </c>
      <c r="H12" s="36" t="str">
        <f>CLEAN(TRIM('Raw data for Day5'!G12))</f>
        <v>N/A</v>
      </c>
      <c r="I12" s="35" t="str">
        <f>CLEAN(TRIM('Raw data for Day5'!H12))</f>
        <v>Male</v>
      </c>
      <c r="J12" s="35" t="str">
        <f>CLEAN(TRIM(LOWER('Raw data for Day5'!I12)))</f>
        <v>user153@example.com</v>
      </c>
      <c r="L12" s="40" t="s">
        <v>5</v>
      </c>
      <c r="M12" s="30" t="s">
        <v>290</v>
      </c>
      <c r="N12" s="27"/>
      <c r="O12" s="27"/>
      <c r="P12" s="27"/>
      <c r="Q12" s="27"/>
      <c r="R12" s="27"/>
    </row>
    <row r="13" spans="1:21">
      <c r="A13" s="35" t="str">
        <f>CLEAN(TRIM(LEFT('Raw data for Day5'!A13,3)))</f>
        <v>EMP</v>
      </c>
      <c r="B13" s="38" t="str">
        <f>CLEAN(TRIM(RIGHT('Raw data for Day5'!A13,4)))</f>
        <v>1010</v>
      </c>
      <c r="C13" s="35" t="str">
        <f>CLEAN(TRIM(PROPER('Raw data for Day5'!B13)))</f>
        <v>Sam Wilson</v>
      </c>
      <c r="D13" s="37" t="str">
        <f>CLEAN(TRIM(IF('Raw data for Day5'!C13="finance",PROPER('Raw data for Day5'!C13),IF('Raw data for Day5'!C13="hr", UPPER('Raw data for Day5'!C13),IF('Raw data for Day5'!C13="it",UPPER('Raw data for Day5'!C13),IF('Raw data for Day5'!C13="sales",PROPER('Raw data for Day5'!C13),IF('Raw data for Day5'!C13="marketing",PROPER('Raw data for Day5'!C13),"Un-known")))))))</f>
        <v>Finance</v>
      </c>
      <c r="E13" s="37" t="str">
        <f>CLEAN(TRIM(IF('Raw data for Day5'!D13="germany",PROPER('Raw data for Day5'!D13),IF('Raw data for Day5'!D13="usa",UPPER('Raw data for Day5'!D13),IF('Raw data for Day5'!D13="uk",UPPER('Raw data for Day5'!D13),IF('Raw data for Day5'!D13="india",PROPER('Raw data for Day5'!D13),'Raw data for Day5'!D13))))))</f>
        <v>UK</v>
      </c>
      <c r="F13" s="21">
        <f>'Raw data for Day5'!E13</f>
        <v>64247</v>
      </c>
      <c r="G13" s="22">
        <f>'Raw data for Day5'!F13</f>
        <v>42078</v>
      </c>
      <c r="H13" s="36" t="str">
        <f>CLEAN(TRIM('Raw data for Day5'!G13))</f>
        <v>1</v>
      </c>
      <c r="I13" s="35" t="str">
        <f>CLEAN(TRIM('Raw data for Day5'!H13))</f>
        <v>Female</v>
      </c>
      <c r="J13" s="35" t="str">
        <f>CLEAN(TRIM(LOWER('Raw data for Day5'!I13)))</f>
        <v>user18@example.com</v>
      </c>
      <c r="L13" s="40"/>
      <c r="M13" s="27"/>
      <c r="N13" s="27"/>
      <c r="O13" s="27"/>
      <c r="P13" s="27"/>
      <c r="Q13" s="27"/>
      <c r="R13" s="27"/>
    </row>
    <row r="14" spans="1:21">
      <c r="A14" s="35" t="str">
        <f>CLEAN(TRIM(LEFT('Raw data for Day5'!A14,3)))</f>
        <v>EMP</v>
      </c>
      <c r="B14" s="38" t="str">
        <f>CLEAN(TRIM(RIGHT('Raw data for Day5'!A14,4)))</f>
        <v>1011</v>
      </c>
      <c r="C14" s="35" t="str">
        <f>CLEAN(TRIM(PROPER('Raw data for Day5'!B14)))</f>
        <v>Sam Wilson</v>
      </c>
      <c r="D14" s="37" t="str">
        <f>CLEAN(TRIM(IF('Raw data for Day5'!C14="finance",PROPER('Raw data for Day5'!C14),IF('Raw data for Day5'!C14="hr", UPPER('Raw data for Day5'!C14),IF('Raw data for Day5'!C14="it",UPPER('Raw data for Day5'!C14),IF('Raw data for Day5'!C14="sales",PROPER('Raw data for Day5'!C14),IF('Raw data for Day5'!C14="marketing",PROPER('Raw data for Day5'!C14),"Un-known")))))))</f>
        <v>IT</v>
      </c>
      <c r="E14" s="37" t="str">
        <f>CLEAN(TRIM(IF('Raw data for Day5'!D14="germany",PROPER('Raw data for Day5'!D14),IF('Raw data for Day5'!D14="usa",UPPER('Raw data for Day5'!D14),IF('Raw data for Day5'!D14="uk",UPPER('Raw data for Day5'!D14),IF('Raw data for Day5'!D14="india",PROPER('Raw data for Day5'!D14),'Raw data for Day5'!D14))))))</f>
        <v>USA</v>
      </c>
      <c r="F14" s="21">
        <f>'Raw data for Day5'!E14</f>
        <v>91180</v>
      </c>
      <c r="G14" s="22">
        <f>'Raw data for Day5'!F14</f>
        <v>42085</v>
      </c>
      <c r="H14" s="36" t="str">
        <f>CLEAN(TRIM('Raw data for Day5'!G14))</f>
        <v>5</v>
      </c>
      <c r="I14" s="35" t="str">
        <f>CLEAN(TRIM('Raw data for Day5'!H14))</f>
        <v>Male</v>
      </c>
      <c r="J14" s="35" t="str">
        <f>CLEAN(TRIM(LOWER('Raw data for Day5'!I14)))</f>
        <v>user1@example.com</v>
      </c>
      <c r="L14" s="43" t="s">
        <v>6</v>
      </c>
      <c r="M14" s="39" t="s">
        <v>291</v>
      </c>
      <c r="N14" s="34"/>
      <c r="O14" s="34"/>
      <c r="P14" s="34"/>
      <c r="Q14" s="34"/>
      <c r="R14" s="34"/>
    </row>
    <row r="15" spans="1:21">
      <c r="A15" s="35" t="str">
        <f>CLEAN(TRIM(LEFT('Raw data for Day5'!A15,3)))</f>
        <v>EMP</v>
      </c>
      <c r="B15" s="38" t="str">
        <f>CLEAN(TRIM(RIGHT('Raw data for Day5'!A15,4)))</f>
        <v>1012</v>
      </c>
      <c r="C15" s="35" t="str">
        <f>CLEAN(TRIM(PROPER('Raw data for Day5'!B15)))</f>
        <v>Bob Johnson</v>
      </c>
      <c r="D15" s="37" t="str">
        <f>CLEAN(TRIM(IF('Raw data for Day5'!C15="finance",PROPER('Raw data for Day5'!C15),IF('Raw data for Day5'!C15="hr", UPPER('Raw data for Day5'!C15),IF('Raw data for Day5'!C15="it",UPPER('Raw data for Day5'!C15),IF('Raw data for Day5'!C15="sales",PROPER('Raw data for Day5'!C15),IF('Raw data for Day5'!C15="marketing",PROPER('Raw data for Day5'!C15),"Un-known")))))))</f>
        <v>Sales</v>
      </c>
      <c r="E15" s="37" t="str">
        <f>CLEAN(TRIM(IF('Raw data for Day5'!D15="germany",PROPER('Raw data for Day5'!D15),IF('Raw data for Day5'!D15="usa",UPPER('Raw data for Day5'!D15),IF('Raw data for Day5'!D15="uk",UPPER('Raw data for Day5'!D15),IF('Raw data for Day5'!D15="india",PROPER('Raw data for Day5'!D15),'Raw data for Day5'!D15))))))</f>
        <v>Un-known</v>
      </c>
      <c r="F15" s="21">
        <f>'Raw data for Day5'!E15</f>
        <v>96418</v>
      </c>
      <c r="G15" s="22">
        <f>'Raw data for Day5'!F15</f>
        <v>42092</v>
      </c>
      <c r="H15" s="36" t="str">
        <f>CLEAN(TRIM('Raw data for Day5'!G15))</f>
        <v>5</v>
      </c>
      <c r="I15" s="35" t="str">
        <f>CLEAN(TRIM('Raw data for Day5'!H15))</f>
        <v>Male</v>
      </c>
      <c r="J15" s="35" t="str">
        <f>CLEAN(TRIM(LOWER('Raw data for Day5'!I15)))</f>
        <v>user106@example.com</v>
      </c>
      <c r="L15" s="42" t="s">
        <v>7</v>
      </c>
      <c r="M15" s="31" t="s">
        <v>292</v>
      </c>
      <c r="N15" s="31"/>
      <c r="O15" s="31"/>
      <c r="P15" s="31"/>
      <c r="Q15" s="31"/>
      <c r="R15" s="31"/>
    </row>
    <row r="16" spans="1:21">
      <c r="A16" s="35" t="str">
        <f>CLEAN(TRIM(LEFT('Raw data for Day5'!A16,3)))</f>
        <v>EMP</v>
      </c>
      <c r="B16" s="38" t="str">
        <f>CLEAN(TRIM(RIGHT('Raw data for Day5'!A16,4)))</f>
        <v>1013</v>
      </c>
      <c r="C16" s="35" t="str">
        <f>CLEAN(TRIM(PROPER('Raw data for Day5'!B16)))</f>
        <v>Sam Wilson</v>
      </c>
      <c r="D16" s="37" t="str">
        <f>CLEAN(TRIM(IF('Raw data for Day5'!C16="finance",PROPER('Raw data for Day5'!C16),IF('Raw data for Day5'!C16="hr", UPPER('Raw data for Day5'!C16),IF('Raw data for Day5'!C16="it",UPPER('Raw data for Day5'!C16),IF('Raw data for Day5'!C16="sales",PROPER('Raw data for Day5'!C16),IF('Raw data for Day5'!C16="marketing",PROPER('Raw data for Day5'!C16),"Un-known")))))))</f>
        <v>Un-known</v>
      </c>
      <c r="E16" s="37" t="str">
        <f>CLEAN(TRIM(IF('Raw data for Day5'!D16="germany",PROPER('Raw data for Day5'!D16),IF('Raw data for Day5'!D16="usa",UPPER('Raw data for Day5'!D16),IF('Raw data for Day5'!D16="uk",UPPER('Raw data for Day5'!D16),IF('Raw data for Day5'!D16="india",PROPER('Raw data for Day5'!D16),'Raw data for Day5'!D16))))))</f>
        <v>India</v>
      </c>
      <c r="F16" s="21">
        <f>'Raw data for Day5'!E16</f>
        <v>62158</v>
      </c>
      <c r="G16" s="22">
        <f>'Raw data for Day5'!F16</f>
        <v>42099</v>
      </c>
      <c r="H16" s="36" t="str">
        <f>CLEAN(TRIM('Raw data for Day5'!G16))</f>
        <v>4</v>
      </c>
      <c r="I16" s="35" t="str">
        <f>CLEAN(TRIM('Raw data for Day5'!H16))</f>
        <v>Un-known</v>
      </c>
      <c r="J16" s="35" t="str">
        <f>CLEAN(TRIM(LOWER('Raw data for Day5'!I16)))</f>
        <v>user180@example.com</v>
      </c>
      <c r="L16" s="42"/>
      <c r="M16" s="31"/>
      <c r="N16" s="31"/>
      <c r="O16" s="31"/>
      <c r="P16" s="31"/>
      <c r="Q16" s="31"/>
      <c r="R16" s="31"/>
    </row>
    <row r="17" spans="1:20">
      <c r="A17" s="35" t="str">
        <f>CLEAN(TRIM(LEFT('Raw data for Day5'!A17,3)))</f>
        <v>EMP</v>
      </c>
      <c r="B17" s="38" t="str">
        <f>CLEAN(TRIM(RIGHT('Raw data for Day5'!A17,4)))</f>
        <v>1014</v>
      </c>
      <c r="C17" s="35" t="str">
        <f>CLEAN(TRIM(PROPER('Raw data for Day5'!B17)))</f>
        <v>Jane Smith</v>
      </c>
      <c r="D17" s="37" t="str">
        <f>CLEAN(TRIM(IF('Raw data for Day5'!C17="finance",PROPER('Raw data for Day5'!C17),IF('Raw data for Day5'!C17="hr", UPPER('Raw data for Day5'!C17),IF('Raw data for Day5'!C17="it",UPPER('Raw data for Day5'!C17),IF('Raw data for Day5'!C17="sales",PROPER('Raw data for Day5'!C17),IF('Raw data for Day5'!C17="marketing",PROPER('Raw data for Day5'!C17),"Un-known")))))))</f>
        <v>HR</v>
      </c>
      <c r="E17" s="37" t="str">
        <f>CLEAN(TRIM(IF('Raw data for Day5'!D17="germany",PROPER('Raw data for Day5'!D17),IF('Raw data for Day5'!D17="usa",UPPER('Raw data for Day5'!D17),IF('Raw data for Day5'!D17="uk",UPPER('Raw data for Day5'!D17),IF('Raw data for Day5'!D17="india",PROPER('Raw data for Day5'!D17),'Raw data for Day5'!D17))))))</f>
        <v>Un-known</v>
      </c>
      <c r="F17" s="21">
        <f>'Raw data for Day5'!E17</f>
        <v>59894</v>
      </c>
      <c r="G17" s="22">
        <f>'Raw data for Day5'!F17</f>
        <v>42106</v>
      </c>
      <c r="H17" s="36" t="str">
        <f>CLEAN(TRIM('Raw data for Day5'!G17))</f>
        <v>2</v>
      </c>
      <c r="I17" s="35" t="str">
        <f>CLEAN(TRIM('Raw data for Day5'!H17))</f>
        <v>Male</v>
      </c>
      <c r="J17" s="35" t="str">
        <f>CLEAN(TRIM(LOWER('Raw data for Day5'!I17)))</f>
        <v>user184@example.com</v>
      </c>
      <c r="L17" s="40" t="s">
        <v>8</v>
      </c>
      <c r="M17" s="31" t="s">
        <v>293</v>
      </c>
      <c r="N17" s="26"/>
      <c r="O17" s="26"/>
      <c r="P17" s="26"/>
      <c r="Q17" s="26"/>
      <c r="R17" s="26"/>
    </row>
    <row r="18" spans="1:20">
      <c r="A18" s="35" t="str">
        <f>CLEAN(TRIM(LEFT('Raw data for Day5'!A18,3)))</f>
        <v>EMP</v>
      </c>
      <c r="B18" s="38" t="str">
        <f>CLEAN(TRIM(RIGHT('Raw data for Day5'!A18,4)))</f>
        <v>1015</v>
      </c>
      <c r="C18" s="35" t="str">
        <f>CLEAN(TRIM(PROPER('Raw data for Day5'!B18)))</f>
        <v>Un-Known</v>
      </c>
      <c r="D18" s="37" t="str">
        <f>CLEAN(TRIM(IF('Raw data for Day5'!C18="finance",PROPER('Raw data for Day5'!C18),IF('Raw data for Day5'!C18="hr", UPPER('Raw data for Day5'!C18),IF('Raw data for Day5'!C18="it",UPPER('Raw data for Day5'!C18),IF('Raw data for Day5'!C18="sales",PROPER('Raw data for Day5'!C18),IF('Raw data for Day5'!C18="marketing",PROPER('Raw data for Day5'!C18),"Un-known")))))))</f>
        <v>IT</v>
      </c>
      <c r="E18" s="37" t="str">
        <f>CLEAN(TRIM(IF('Raw data for Day5'!D18="germany",PROPER('Raw data for Day5'!D18),IF('Raw data for Day5'!D18="usa",UPPER('Raw data for Day5'!D18),IF('Raw data for Day5'!D18="uk",UPPER('Raw data for Day5'!D18),IF('Raw data for Day5'!D18="india",PROPER('Raw data for Day5'!D18),'Raw data for Day5'!D18))))))</f>
        <v>India</v>
      </c>
      <c r="F18" s="21">
        <f>'Raw data for Day5'!E18</f>
        <v>92443</v>
      </c>
      <c r="G18" s="22">
        <f>'Raw data for Day5'!F18</f>
        <v>42113</v>
      </c>
      <c r="H18" s="36" t="str">
        <f>CLEAN(TRIM('Raw data for Day5'!G18))</f>
        <v>3</v>
      </c>
      <c r="I18" s="35" t="str">
        <f>CLEAN(TRIM('Raw data for Day5'!H18))</f>
        <v>Other</v>
      </c>
      <c r="J18" s="35" t="str">
        <f>CLEAN(TRIM(LOWER('Raw data for Day5'!I18)))</f>
        <v>user3@example.com</v>
      </c>
      <c r="L18" s="40"/>
      <c r="M18" s="26"/>
      <c r="N18" s="26"/>
      <c r="O18" s="26"/>
      <c r="P18" s="26"/>
      <c r="Q18" s="26"/>
      <c r="R18" s="26"/>
    </row>
    <row r="19" spans="1:20">
      <c r="A19" s="35" t="str">
        <f>CLEAN(TRIM(LEFT('Raw data for Day5'!A19,3)))</f>
        <v>EMP</v>
      </c>
      <c r="B19" s="38" t="str">
        <f>CLEAN(TRIM(RIGHT('Raw data for Day5'!A19,4)))</f>
        <v>1016</v>
      </c>
      <c r="C19" s="35" t="str">
        <f>CLEAN(TRIM(PROPER('Raw data for Day5'!B19)))</f>
        <v>Bob Johnson</v>
      </c>
      <c r="D19" s="37" t="str">
        <f>CLEAN(TRIM(IF('Raw data for Day5'!C19="finance",PROPER('Raw data for Day5'!C19),IF('Raw data for Day5'!C19="hr", UPPER('Raw data for Day5'!C19),IF('Raw data for Day5'!C19="it",UPPER('Raw data for Day5'!C19),IF('Raw data for Day5'!C19="sales",PROPER('Raw data for Day5'!C19),IF('Raw data for Day5'!C19="marketing",PROPER('Raw data for Day5'!C19),"Un-known")))))))</f>
        <v>Un-known</v>
      </c>
      <c r="E19" s="37" t="str">
        <f>CLEAN(TRIM(IF('Raw data for Day5'!D19="germany",PROPER('Raw data for Day5'!D19),IF('Raw data for Day5'!D19="usa",UPPER('Raw data for Day5'!D19),IF('Raw data for Day5'!D19="uk",UPPER('Raw data for Day5'!D19),IF('Raw data for Day5'!D19="india",PROPER('Raw data for Day5'!D19),'Raw data for Day5'!D19))))))</f>
        <v>Germany</v>
      </c>
      <c r="F19" s="21">
        <f>'Raw data for Day5'!E19</f>
        <v>90271</v>
      </c>
      <c r="G19" s="22">
        <f>'Raw data for Day5'!F19</f>
        <v>42120</v>
      </c>
      <c r="H19" s="36" t="str">
        <f>CLEAN(TRIM('Raw data for Day5'!G19))</f>
        <v>N/A</v>
      </c>
      <c r="I19" s="35" t="str">
        <f>CLEAN(TRIM('Raw data for Day5'!H19))</f>
        <v>Un-known</v>
      </c>
      <c r="J19" s="35" t="str">
        <f>CLEAN(TRIM(LOWER('Raw data for Day5'!I19)))</f>
        <v>user64@example.com</v>
      </c>
      <c r="M19" s="23"/>
      <c r="N19" s="23"/>
      <c r="O19" s="23"/>
      <c r="P19" s="23"/>
      <c r="Q19" s="23"/>
      <c r="R19" s="23"/>
    </row>
    <row r="20" spans="1:20">
      <c r="A20" s="35" t="str">
        <f>CLEAN(TRIM(LEFT('Raw data for Day5'!A20,3)))</f>
        <v>EMP</v>
      </c>
      <c r="B20" s="38" t="str">
        <f>CLEAN(TRIM(RIGHT('Raw data for Day5'!A20,4)))</f>
        <v>1017</v>
      </c>
      <c r="C20" s="35" t="str">
        <f>CLEAN(TRIM(PROPER('Raw data for Day5'!B20)))</f>
        <v>Jane Smith</v>
      </c>
      <c r="D20" s="37" t="str">
        <f>CLEAN(TRIM(IF('Raw data for Day5'!C20="finance",PROPER('Raw data for Day5'!C20),IF('Raw data for Day5'!C20="hr", UPPER('Raw data for Day5'!C20),IF('Raw data for Day5'!C20="it",UPPER('Raw data for Day5'!C20),IF('Raw data for Day5'!C20="sales",PROPER('Raw data for Day5'!C20),IF('Raw data for Day5'!C20="marketing",PROPER('Raw data for Day5'!C20),"Un-known")))))))</f>
        <v>Finance</v>
      </c>
      <c r="E20" s="37" t="str">
        <f>CLEAN(TRIM(IF('Raw data for Day5'!D20="germany",PROPER('Raw data for Day5'!D20),IF('Raw data for Day5'!D20="usa",UPPER('Raw data for Day5'!D20),IF('Raw data for Day5'!D20="uk",UPPER('Raw data for Day5'!D20),IF('Raw data for Day5'!D20="india",PROPER('Raw data for Day5'!D20),'Raw data for Day5'!D20))))))</f>
        <v>Australia</v>
      </c>
      <c r="F20" s="21">
        <f>'Raw data for Day5'!E20</f>
        <v>41341</v>
      </c>
      <c r="G20" s="22">
        <f>'Raw data for Day5'!F20</f>
        <v>42127</v>
      </c>
      <c r="H20" s="36" t="str">
        <f>CLEAN(TRIM('Raw data for Day5'!G20))</f>
        <v>1</v>
      </c>
      <c r="I20" s="35" t="str">
        <f>CLEAN(TRIM('Raw data for Day5'!H20))</f>
        <v>Other</v>
      </c>
      <c r="J20" s="35" t="str">
        <f>CLEAN(TRIM(LOWER('Raw data for Day5'!I20)))</f>
        <v>user38@example.com</v>
      </c>
      <c r="L20" s="44" t="s">
        <v>294</v>
      </c>
      <c r="M20" s="44"/>
      <c r="N20" s="44"/>
      <c r="O20" s="44"/>
      <c r="P20" s="44"/>
      <c r="Q20" s="44"/>
      <c r="R20" s="44"/>
      <c r="S20" s="23"/>
      <c r="T20" s="23"/>
    </row>
    <row r="21" spans="1:20">
      <c r="A21" s="35" t="str">
        <f>CLEAN(TRIM(LEFT('Raw data for Day5'!A21,3)))</f>
        <v>EMP</v>
      </c>
      <c r="B21" s="38" t="str">
        <f>CLEAN(TRIM(RIGHT('Raw data for Day5'!A21,4)))</f>
        <v>1018</v>
      </c>
      <c r="C21" s="35" t="str">
        <f>CLEAN(TRIM(PROPER('Raw data for Day5'!B21)))</f>
        <v>Alice Brown</v>
      </c>
      <c r="D21" s="37" t="str">
        <f>CLEAN(TRIM(IF('Raw data for Day5'!C21="finance",PROPER('Raw data for Day5'!C21),IF('Raw data for Day5'!C21="hr", UPPER('Raw data for Day5'!C21),IF('Raw data for Day5'!C21="it",UPPER('Raw data for Day5'!C21),IF('Raw data for Day5'!C21="sales",PROPER('Raw data for Day5'!C21),IF('Raw data for Day5'!C21="marketing",PROPER('Raw data for Day5'!C21),"Un-known")))))))</f>
        <v>Finance</v>
      </c>
      <c r="E21" s="37" t="str">
        <f>CLEAN(TRIM(IF('Raw data for Day5'!D21="germany",PROPER('Raw data for Day5'!D21),IF('Raw data for Day5'!D21="usa",UPPER('Raw data for Day5'!D21),IF('Raw data for Day5'!D21="uk",UPPER('Raw data for Day5'!D21),IF('Raw data for Day5'!D21="india",PROPER('Raw data for Day5'!D21),'Raw data for Day5'!D21))))))</f>
        <v>UK</v>
      </c>
      <c r="F21" s="21">
        <f>'Raw data for Day5'!E21</f>
        <v>73602</v>
      </c>
      <c r="G21" s="22">
        <f>'Raw data for Day5'!F21</f>
        <v>42134</v>
      </c>
      <c r="H21" s="36" t="str">
        <f>CLEAN(TRIM('Raw data for Day5'!G21))</f>
        <v>N/A</v>
      </c>
      <c r="I21" s="35" t="str">
        <f>CLEAN(TRIM('Raw data for Day5'!H21))</f>
        <v>Un-known</v>
      </c>
      <c r="J21" s="35" t="str">
        <f>CLEAN(TRIM(LOWER('Raw data for Day5'!I21)))</f>
        <v>user96@example.com</v>
      </c>
    </row>
    <row r="22" spans="1:20">
      <c r="A22" s="35" t="str">
        <f>CLEAN(TRIM(LEFT('Raw data for Day5'!A22,3)))</f>
        <v>EMP</v>
      </c>
      <c r="B22" s="38" t="str">
        <f>CLEAN(TRIM(RIGHT('Raw data for Day5'!A22,4)))</f>
        <v>1019</v>
      </c>
      <c r="C22" s="35" t="str">
        <f>CLEAN(TRIM(PROPER('Raw data for Day5'!B22)))</f>
        <v>Eve Adams</v>
      </c>
      <c r="D22" s="37" t="str">
        <f>CLEAN(TRIM(IF('Raw data for Day5'!C22="finance",PROPER('Raw data for Day5'!C22),IF('Raw data for Day5'!C22="hr", UPPER('Raw data for Day5'!C22),IF('Raw data for Day5'!C22="it",UPPER('Raw data for Day5'!C22),IF('Raw data for Day5'!C22="sales",PROPER('Raw data for Day5'!C22),IF('Raw data for Day5'!C22="marketing",PROPER('Raw data for Day5'!C22),"Un-known")))))))</f>
        <v>Un-known</v>
      </c>
      <c r="E22" s="37" t="str">
        <f>CLEAN(TRIM(IF('Raw data for Day5'!D22="germany",PROPER('Raw data for Day5'!D22),IF('Raw data for Day5'!D22="usa",UPPER('Raw data for Day5'!D22),IF('Raw data for Day5'!D22="uk",UPPER('Raw data for Day5'!D22),IF('Raw data for Day5'!D22="india",PROPER('Raw data for Day5'!D22),'Raw data for Day5'!D22))))))</f>
        <v>India</v>
      </c>
      <c r="F22" s="21">
        <f>'Raw data for Day5'!E22</f>
        <v>67531</v>
      </c>
      <c r="G22" s="22">
        <f>'Raw data for Day5'!F22</f>
        <v>42141</v>
      </c>
      <c r="H22" s="36" t="str">
        <f>CLEAN(TRIM('Raw data for Day5'!G22))</f>
        <v>5</v>
      </c>
      <c r="I22" s="35" t="str">
        <f>CLEAN(TRIM('Raw data for Day5'!H22))</f>
        <v>Female</v>
      </c>
      <c r="J22" s="35" t="str">
        <f>CLEAN(TRIM(LOWER('Raw data for Day5'!I22)))</f>
        <v>user151@example.com</v>
      </c>
    </row>
    <row r="23" spans="1:20">
      <c r="A23" s="35" t="str">
        <f>CLEAN(TRIM(LEFT('Raw data for Day5'!A23,3)))</f>
        <v>EMP</v>
      </c>
      <c r="B23" s="38" t="str">
        <f>CLEAN(TRIM(RIGHT('Raw data for Day5'!A23,4)))</f>
        <v>1020</v>
      </c>
      <c r="C23" s="35" t="str">
        <f>CLEAN(TRIM(PROPER('Raw data for Day5'!B23)))</f>
        <v>Jane Smith</v>
      </c>
      <c r="D23" s="37" t="str">
        <f>CLEAN(TRIM(IF('Raw data for Day5'!C23="finance",PROPER('Raw data for Day5'!C23),IF('Raw data for Day5'!C23="hr", UPPER('Raw data for Day5'!C23),IF('Raw data for Day5'!C23="it",UPPER('Raw data for Day5'!C23),IF('Raw data for Day5'!C23="sales",PROPER('Raw data for Day5'!C23),IF('Raw data for Day5'!C23="marketing",PROPER('Raw data for Day5'!C23),"Un-known")))))))</f>
        <v>HR</v>
      </c>
      <c r="E23" s="37" t="str">
        <f>CLEAN(TRIM(IF('Raw data for Day5'!D23="germany",PROPER('Raw data for Day5'!D23),IF('Raw data for Day5'!D23="usa",UPPER('Raw data for Day5'!D23),IF('Raw data for Day5'!D23="uk",UPPER('Raw data for Day5'!D23),IF('Raw data for Day5'!D23="india",PROPER('Raw data for Day5'!D23),'Raw data for Day5'!D23))))))</f>
        <v>USA</v>
      </c>
      <c r="F23" s="21" t="str">
        <f>'Raw data for Day5'!E23</f>
        <v>0</v>
      </c>
      <c r="G23" s="22">
        <f>'Raw data for Day5'!F23</f>
        <v>42148</v>
      </c>
      <c r="H23" s="36" t="str">
        <f>CLEAN(TRIM('Raw data for Day5'!G23))</f>
        <v>2</v>
      </c>
      <c r="I23" s="35" t="str">
        <f>CLEAN(TRIM('Raw data for Day5'!H23))</f>
        <v>Other</v>
      </c>
      <c r="J23" s="35" t="str">
        <f>CLEAN(TRIM(LOWER('Raw data for Day5'!I23)))</f>
        <v>user200@example.com</v>
      </c>
    </row>
    <row r="24" spans="1:20">
      <c r="A24" s="35" t="str">
        <f>CLEAN(TRIM(LEFT('Raw data for Day5'!A24,3)))</f>
        <v>EMP</v>
      </c>
      <c r="B24" s="38" t="str">
        <f>CLEAN(TRIM(RIGHT('Raw data for Day5'!A24,4)))</f>
        <v>1021</v>
      </c>
      <c r="C24" s="35" t="str">
        <f>CLEAN(TRIM(PROPER('Raw data for Day5'!B24)))</f>
        <v>Jane Smith</v>
      </c>
      <c r="D24" s="37" t="str">
        <f>CLEAN(TRIM(IF('Raw data for Day5'!C24="finance",PROPER('Raw data for Day5'!C24),IF('Raw data for Day5'!C24="hr", UPPER('Raw data for Day5'!C24),IF('Raw data for Day5'!C24="it",UPPER('Raw data for Day5'!C24),IF('Raw data for Day5'!C24="sales",PROPER('Raw data for Day5'!C24),IF('Raw data for Day5'!C24="marketing",PROPER('Raw data for Day5'!C24),"Un-known")))))))</f>
        <v>HR</v>
      </c>
      <c r="E24" s="37" t="str">
        <f>CLEAN(TRIM(IF('Raw data for Day5'!D24="germany",PROPER('Raw data for Day5'!D24),IF('Raw data for Day5'!D24="usa",UPPER('Raw data for Day5'!D24),IF('Raw data for Day5'!D24="uk",UPPER('Raw data for Day5'!D24),IF('Raw data for Day5'!D24="india",PROPER('Raw data for Day5'!D24),'Raw data for Day5'!D24))))))</f>
        <v>Un-known</v>
      </c>
      <c r="F24" s="21">
        <f>'Raw data for Day5'!E24</f>
        <v>98922</v>
      </c>
      <c r="G24" s="22">
        <f>'Raw data for Day5'!F24</f>
        <v>42155</v>
      </c>
      <c r="H24" s="36" t="str">
        <f>CLEAN(TRIM('Raw data for Day5'!G24))</f>
        <v>4</v>
      </c>
      <c r="I24" s="35" t="str">
        <f>CLEAN(TRIM('Raw data for Day5'!H24))</f>
        <v>Un-known</v>
      </c>
      <c r="J24" s="35" t="str">
        <f>CLEAN(TRIM(LOWER('Raw data for Day5'!I24)))</f>
        <v>user77@example.com</v>
      </c>
    </row>
    <row r="25" spans="1:20">
      <c r="A25" s="35" t="str">
        <f>CLEAN(TRIM(LEFT('Raw data for Day5'!A25,3)))</f>
        <v>EMP</v>
      </c>
      <c r="B25" s="38" t="str">
        <f>CLEAN(TRIM(RIGHT('Raw data for Day5'!A25,4)))</f>
        <v>1022</v>
      </c>
      <c r="C25" s="35" t="str">
        <f>CLEAN(TRIM(PROPER('Raw data for Day5'!B25)))</f>
        <v>Eve Adams</v>
      </c>
      <c r="D25" s="37" t="str">
        <f>CLEAN(TRIM(IF('Raw data for Day5'!C25="finance",PROPER('Raw data for Day5'!C25),IF('Raw data for Day5'!C25="hr", UPPER('Raw data for Day5'!C25),IF('Raw data for Day5'!C25="it",UPPER('Raw data for Day5'!C25),IF('Raw data for Day5'!C25="sales",PROPER('Raw data for Day5'!C25),IF('Raw data for Day5'!C25="marketing",PROPER('Raw data for Day5'!C25),"Un-known")))))))</f>
        <v>Finance</v>
      </c>
      <c r="E25" s="37" t="str">
        <f>CLEAN(TRIM(IF('Raw data for Day5'!D25="germany",PROPER('Raw data for Day5'!D25),IF('Raw data for Day5'!D25="usa",UPPER('Raw data for Day5'!D25),IF('Raw data for Day5'!D25="uk",UPPER('Raw data for Day5'!D25),IF('Raw data for Day5'!D25="india",PROPER('Raw data for Day5'!D25),'Raw data for Day5'!D25))))))</f>
        <v>India</v>
      </c>
      <c r="F25" s="21">
        <f>'Raw data for Day5'!E25</f>
        <v>38333</v>
      </c>
      <c r="G25" s="22">
        <f>'Raw data for Day5'!F25</f>
        <v>42162</v>
      </c>
      <c r="H25" s="36" t="str">
        <f>CLEAN(TRIM('Raw data for Day5'!G25))</f>
        <v>5</v>
      </c>
      <c r="I25" s="35" t="str">
        <f>CLEAN(TRIM('Raw data for Day5'!H25))</f>
        <v>Un-known</v>
      </c>
      <c r="J25" s="35" t="str">
        <f>CLEAN(TRIM(LOWER('Raw data for Day5'!I25)))</f>
        <v>user128@example.com</v>
      </c>
    </row>
    <row r="26" spans="1:20">
      <c r="A26" s="35" t="str">
        <f>CLEAN(TRIM(LEFT('Raw data for Day5'!A26,3)))</f>
        <v>EMP</v>
      </c>
      <c r="B26" s="38" t="str">
        <f>CLEAN(TRIM(RIGHT('Raw data for Day5'!A26,4)))</f>
        <v>1023</v>
      </c>
      <c r="C26" s="35" t="str">
        <f>CLEAN(TRIM(PROPER('Raw data for Day5'!B26)))</f>
        <v>Alice Brown</v>
      </c>
      <c r="D26" s="37" t="str">
        <f>CLEAN(TRIM(IF('Raw data for Day5'!C26="finance",PROPER('Raw data for Day5'!C26),IF('Raw data for Day5'!C26="hr", UPPER('Raw data for Day5'!C26),IF('Raw data for Day5'!C26="it",UPPER('Raw data for Day5'!C26),IF('Raw data for Day5'!C26="sales",PROPER('Raw data for Day5'!C26),IF('Raw data for Day5'!C26="marketing",PROPER('Raw data for Day5'!C26),"Un-known")))))))</f>
        <v>Marketing</v>
      </c>
      <c r="E26" s="37" t="str">
        <f>CLEAN(TRIM(IF('Raw data for Day5'!D26="germany",PROPER('Raw data for Day5'!D26),IF('Raw data for Day5'!D26="usa",UPPER('Raw data for Day5'!D26),IF('Raw data for Day5'!D26="uk",UPPER('Raw data for Day5'!D26),IF('Raw data for Day5'!D26="india",PROPER('Raw data for Day5'!D26),'Raw data for Day5'!D26))))))</f>
        <v>UK</v>
      </c>
      <c r="F26" s="21">
        <f>'Raw data for Day5'!E26</f>
        <v>36515</v>
      </c>
      <c r="G26" s="22">
        <f>'Raw data for Day5'!F26</f>
        <v>42169</v>
      </c>
      <c r="H26" s="36" t="str">
        <f>CLEAN(TRIM('Raw data for Day5'!G26))</f>
        <v>3</v>
      </c>
      <c r="I26" s="35" t="str">
        <f>CLEAN(TRIM('Raw data for Day5'!H26))</f>
        <v>Male</v>
      </c>
      <c r="J26" s="35" t="str">
        <f>CLEAN(TRIM(LOWER('Raw data for Day5'!I26)))</f>
        <v>user149@example.com</v>
      </c>
    </row>
    <row r="27" spans="1:20">
      <c r="A27" s="35" t="str">
        <f>CLEAN(TRIM(LEFT('Raw data for Day5'!A27,3)))</f>
        <v>EMP</v>
      </c>
      <c r="B27" s="38" t="str">
        <f>CLEAN(TRIM(RIGHT('Raw data for Day5'!A27,4)))</f>
        <v>1024</v>
      </c>
      <c r="C27" s="35" t="str">
        <f>CLEAN(TRIM(PROPER('Raw data for Day5'!B27)))</f>
        <v>Sam Wilson</v>
      </c>
      <c r="D27" s="37" t="str">
        <f>CLEAN(TRIM(IF('Raw data for Day5'!C27="finance",PROPER('Raw data for Day5'!C27),IF('Raw data for Day5'!C27="hr", UPPER('Raw data for Day5'!C27),IF('Raw data for Day5'!C27="it",UPPER('Raw data for Day5'!C27),IF('Raw data for Day5'!C27="sales",PROPER('Raw data for Day5'!C27),IF('Raw data for Day5'!C27="marketing",PROPER('Raw data for Day5'!C27),"Un-known")))))))</f>
        <v>Finance</v>
      </c>
      <c r="E27" s="37" t="str">
        <f>CLEAN(TRIM(IF('Raw data for Day5'!D27="germany",PROPER('Raw data for Day5'!D27),IF('Raw data for Day5'!D27="usa",UPPER('Raw data for Day5'!D27),IF('Raw data for Day5'!D27="uk",UPPER('Raw data for Day5'!D27),IF('Raw data for Day5'!D27="india",PROPER('Raw data for Day5'!D27),'Raw data for Day5'!D27))))))</f>
        <v>Un-known</v>
      </c>
      <c r="F27" s="21">
        <f>'Raw data for Day5'!E27</f>
        <v>91005</v>
      </c>
      <c r="G27" s="22">
        <f>'Raw data for Day5'!F27</f>
        <v>42176</v>
      </c>
      <c r="H27" s="36" t="str">
        <f>CLEAN(TRIM('Raw data for Day5'!G27))</f>
        <v>1</v>
      </c>
      <c r="I27" s="35" t="str">
        <f>CLEAN(TRIM('Raw data for Day5'!H27))</f>
        <v>Other</v>
      </c>
      <c r="J27" s="35" t="str">
        <f>CLEAN(TRIM(LOWER('Raw data for Day5'!I27)))</f>
        <v>user122@example.com</v>
      </c>
    </row>
    <row r="28" spans="1:20">
      <c r="A28" s="35" t="str">
        <f>CLEAN(TRIM(LEFT('Raw data for Day5'!A28,3)))</f>
        <v>EMP</v>
      </c>
      <c r="B28" s="38" t="str">
        <f>CLEAN(TRIM(RIGHT('Raw data for Day5'!A28,4)))</f>
        <v>1025</v>
      </c>
      <c r="C28" s="35" t="str">
        <f>CLEAN(TRIM(PROPER('Raw data for Day5'!B28)))</f>
        <v>Chris Lee</v>
      </c>
      <c r="D28" s="37" t="str">
        <f>CLEAN(TRIM(IF('Raw data for Day5'!C28="finance",PROPER('Raw data for Day5'!C28),IF('Raw data for Day5'!C28="hr", UPPER('Raw data for Day5'!C28),IF('Raw data for Day5'!C28="it",UPPER('Raw data for Day5'!C28),IF('Raw data for Day5'!C28="sales",PROPER('Raw data for Day5'!C28),IF('Raw data for Day5'!C28="marketing",PROPER('Raw data for Day5'!C28),"Un-known")))))))</f>
        <v>Un-known</v>
      </c>
      <c r="E28" s="37" t="str">
        <f>CLEAN(TRIM(IF('Raw data for Day5'!D28="germany",PROPER('Raw data for Day5'!D28),IF('Raw data for Day5'!D28="usa",UPPER('Raw data for Day5'!D28),IF('Raw data for Day5'!D28="uk",UPPER('Raw data for Day5'!D28),IF('Raw data for Day5'!D28="india",PROPER('Raw data for Day5'!D28),'Raw data for Day5'!D28))))))</f>
        <v>Un-known</v>
      </c>
      <c r="F28" s="21">
        <f>'Raw data for Day5'!E28</f>
        <v>52272</v>
      </c>
      <c r="G28" s="22">
        <f>'Raw data for Day5'!F28</f>
        <v>42183</v>
      </c>
      <c r="H28" s="36" t="str">
        <f>CLEAN(TRIM('Raw data for Day5'!G28))</f>
        <v>3</v>
      </c>
      <c r="I28" s="35" t="str">
        <f>CLEAN(TRIM('Raw data for Day5'!H28))</f>
        <v>Un-known</v>
      </c>
      <c r="J28" s="35" t="str">
        <f>CLEAN(TRIM(LOWER('Raw data for Day5'!I28)))</f>
        <v>user41@example.com</v>
      </c>
    </row>
    <row r="29" spans="1:20">
      <c r="A29" s="35" t="str">
        <f>CLEAN(TRIM(LEFT('Raw data for Day5'!A29,3)))</f>
        <v>EMP</v>
      </c>
      <c r="B29" s="38" t="str">
        <f>CLEAN(TRIM(RIGHT('Raw data for Day5'!A29,4)))</f>
        <v>1026</v>
      </c>
      <c r="C29" s="35" t="str">
        <f>CLEAN(TRIM(PROPER('Raw data for Day5'!B29)))</f>
        <v>Eve Adams</v>
      </c>
      <c r="D29" s="37" t="str">
        <f>CLEAN(TRIM(IF('Raw data for Day5'!C29="finance",PROPER('Raw data for Day5'!C29),IF('Raw data for Day5'!C29="hr", UPPER('Raw data for Day5'!C29),IF('Raw data for Day5'!C29="it",UPPER('Raw data for Day5'!C29),IF('Raw data for Day5'!C29="sales",PROPER('Raw data for Day5'!C29),IF('Raw data for Day5'!C29="marketing",PROPER('Raw data for Day5'!C29),"Un-known")))))))</f>
        <v>Sales</v>
      </c>
      <c r="E29" s="37" t="str">
        <f>CLEAN(TRIM(IF('Raw data for Day5'!D29="germany",PROPER('Raw data for Day5'!D29),IF('Raw data for Day5'!D29="usa",UPPER('Raw data for Day5'!D29),IF('Raw data for Day5'!D29="uk",UPPER('Raw data for Day5'!D29),IF('Raw data for Day5'!D29="india",PROPER('Raw data for Day5'!D29),'Raw data for Day5'!D29))))))</f>
        <v>Germany</v>
      </c>
      <c r="F29" s="21">
        <f>'Raw data for Day5'!E29</f>
        <v>76518</v>
      </c>
      <c r="G29" s="22">
        <f>'Raw data for Day5'!F29</f>
        <v>42190</v>
      </c>
      <c r="H29" s="36" t="str">
        <f>CLEAN(TRIM('Raw data for Day5'!G29))</f>
        <v>2</v>
      </c>
      <c r="I29" s="35" t="str">
        <f>CLEAN(TRIM('Raw data for Day5'!H29))</f>
        <v>Female</v>
      </c>
      <c r="J29" s="35" t="str">
        <f>CLEAN(TRIM(LOWER('Raw data for Day5'!I29)))</f>
        <v>user68@example.com</v>
      </c>
    </row>
    <row r="30" spans="1:20">
      <c r="A30" s="35" t="str">
        <f>CLEAN(TRIM(LEFT('Raw data for Day5'!A30,3)))</f>
        <v>EMP</v>
      </c>
      <c r="B30" s="38" t="str">
        <f>CLEAN(TRIM(RIGHT('Raw data for Day5'!A30,4)))</f>
        <v>1027</v>
      </c>
      <c r="C30" s="35" t="str">
        <f>CLEAN(TRIM(PROPER('Raw data for Day5'!B30)))</f>
        <v>Alice Brown</v>
      </c>
      <c r="D30" s="37" t="str">
        <f>CLEAN(TRIM(IF('Raw data for Day5'!C30="finance",PROPER('Raw data for Day5'!C30),IF('Raw data for Day5'!C30="hr", UPPER('Raw data for Day5'!C30),IF('Raw data for Day5'!C30="it",UPPER('Raw data for Day5'!C30),IF('Raw data for Day5'!C30="sales",PROPER('Raw data for Day5'!C30),IF('Raw data for Day5'!C30="marketing",PROPER('Raw data for Day5'!C30),"Un-known")))))))</f>
        <v>IT</v>
      </c>
      <c r="E30" s="37" t="str">
        <f>CLEAN(TRIM(IF('Raw data for Day5'!D30="germany",PROPER('Raw data for Day5'!D30),IF('Raw data for Day5'!D30="usa",UPPER('Raw data for Day5'!D30),IF('Raw data for Day5'!D30="uk",UPPER('Raw data for Day5'!D30),IF('Raw data for Day5'!D30="india",PROPER('Raw data for Day5'!D30),'Raw data for Day5'!D30))))))</f>
        <v>UK</v>
      </c>
      <c r="F30" s="21">
        <f>'Raw data for Day5'!E30</f>
        <v>41448</v>
      </c>
      <c r="G30" s="22">
        <f>'Raw data for Day5'!F30</f>
        <v>42197</v>
      </c>
      <c r="H30" s="36" t="str">
        <f>CLEAN(TRIM('Raw data for Day5'!G30))</f>
        <v>3</v>
      </c>
      <c r="I30" s="35" t="str">
        <f>CLEAN(TRIM('Raw data for Day5'!H30))</f>
        <v>Other</v>
      </c>
      <c r="J30" s="35" t="str">
        <f>CLEAN(TRIM(LOWER('Raw data for Day5'!I30)))</f>
        <v>user103@example.com</v>
      </c>
    </row>
    <row r="31" spans="1:20">
      <c r="A31" s="35" t="str">
        <f>CLEAN(TRIM(LEFT('Raw data for Day5'!A31,3)))</f>
        <v>EMP</v>
      </c>
      <c r="B31" s="38" t="str">
        <f>CLEAN(TRIM(RIGHT('Raw data for Day5'!A31,4)))</f>
        <v>1028</v>
      </c>
      <c r="C31" s="35" t="str">
        <f>CLEAN(TRIM(PROPER('Raw data for Day5'!B31)))</f>
        <v>John Doe</v>
      </c>
      <c r="D31" s="37" t="str">
        <f>CLEAN(TRIM(IF('Raw data for Day5'!C31="finance",PROPER('Raw data for Day5'!C31),IF('Raw data for Day5'!C31="hr", UPPER('Raw data for Day5'!C31),IF('Raw data for Day5'!C31="it",UPPER('Raw data for Day5'!C31),IF('Raw data for Day5'!C31="sales",PROPER('Raw data for Day5'!C31),IF('Raw data for Day5'!C31="marketing",PROPER('Raw data for Day5'!C31),"Un-known")))))))</f>
        <v>HR</v>
      </c>
      <c r="E31" s="37" t="str">
        <f>CLEAN(TRIM(IF('Raw data for Day5'!D31="germany",PROPER('Raw data for Day5'!D31),IF('Raw data for Day5'!D31="usa",UPPER('Raw data for Day5'!D31),IF('Raw data for Day5'!D31="uk",UPPER('Raw data for Day5'!D31),IF('Raw data for Day5'!D31="india",PROPER('Raw data for Day5'!D31),'Raw data for Day5'!D31))))))</f>
        <v>UK</v>
      </c>
      <c r="F31" s="21">
        <f>'Raw data for Day5'!E31</f>
        <v>49282</v>
      </c>
      <c r="G31" s="22">
        <f>'Raw data for Day5'!F31</f>
        <v>42204</v>
      </c>
      <c r="H31" s="36" t="str">
        <f>CLEAN(TRIM('Raw data for Day5'!G31))</f>
        <v>2</v>
      </c>
      <c r="I31" s="35" t="str">
        <f>CLEAN(TRIM('Raw data for Day5'!H31))</f>
        <v>Female</v>
      </c>
      <c r="J31" s="35" t="str">
        <f>CLEAN(TRIM(LOWER('Raw data for Day5'!I31)))</f>
        <v>user135@example.com</v>
      </c>
    </row>
    <row r="32" spans="1:20">
      <c r="A32" s="35" t="str">
        <f>CLEAN(TRIM(LEFT('Raw data for Day5'!A32,3)))</f>
        <v>EMP</v>
      </c>
      <c r="B32" s="38" t="str">
        <f>CLEAN(TRIM(RIGHT('Raw data for Day5'!A32,4)))</f>
        <v>1029</v>
      </c>
      <c r="C32" s="35" t="str">
        <f>CLEAN(TRIM(PROPER('Raw data for Day5'!B32)))</f>
        <v>Bob Johnson</v>
      </c>
      <c r="D32" s="37" t="str">
        <f>CLEAN(TRIM(IF('Raw data for Day5'!C32="finance",PROPER('Raw data for Day5'!C32),IF('Raw data for Day5'!C32="hr", UPPER('Raw data for Day5'!C32),IF('Raw data for Day5'!C32="it",UPPER('Raw data for Day5'!C32),IF('Raw data for Day5'!C32="sales",PROPER('Raw data for Day5'!C32),IF('Raw data for Day5'!C32="marketing",PROPER('Raw data for Day5'!C32),"Un-known")))))))</f>
        <v>Marketing</v>
      </c>
      <c r="E32" s="37" t="str">
        <f>CLEAN(TRIM(IF('Raw data for Day5'!D32="germany",PROPER('Raw data for Day5'!D32),IF('Raw data for Day5'!D32="usa",UPPER('Raw data for Day5'!D32),IF('Raw data for Day5'!D32="uk",UPPER('Raw data for Day5'!D32),IF('Raw data for Day5'!D32="india",PROPER('Raw data for Day5'!D32),'Raw data for Day5'!D32))))))</f>
        <v>UK</v>
      </c>
      <c r="F32" s="21">
        <f>'Raw data for Day5'!E32</f>
        <v>92959</v>
      </c>
      <c r="G32" s="22">
        <f>'Raw data for Day5'!F32</f>
        <v>42211</v>
      </c>
      <c r="H32" s="36" t="str">
        <f>CLEAN(TRIM('Raw data for Day5'!G32))</f>
        <v>5</v>
      </c>
      <c r="I32" s="35" t="str">
        <f>CLEAN(TRIM('Raw data for Day5'!H32))</f>
        <v>Un-known</v>
      </c>
      <c r="J32" s="35" t="str">
        <f>CLEAN(TRIM(LOWER('Raw data for Day5'!I32)))</f>
        <v>user83@example.com</v>
      </c>
    </row>
    <row r="33" spans="1:10">
      <c r="A33" s="35" t="str">
        <f>CLEAN(TRIM(LEFT('Raw data for Day5'!A33,3)))</f>
        <v>EMP</v>
      </c>
      <c r="B33" s="38" t="str">
        <f>CLEAN(TRIM(RIGHT('Raw data for Day5'!A33,4)))</f>
        <v>1030</v>
      </c>
      <c r="C33" s="35" t="str">
        <f>CLEAN(TRIM(PROPER('Raw data for Day5'!B33)))</f>
        <v>Un-Known</v>
      </c>
      <c r="D33" s="37" t="str">
        <f>CLEAN(TRIM(IF('Raw data for Day5'!C33="finance",PROPER('Raw data for Day5'!C33),IF('Raw data for Day5'!C33="hr", UPPER('Raw data for Day5'!C33),IF('Raw data for Day5'!C33="it",UPPER('Raw data for Day5'!C33),IF('Raw data for Day5'!C33="sales",PROPER('Raw data for Day5'!C33),IF('Raw data for Day5'!C33="marketing",PROPER('Raw data for Day5'!C33),"Un-known")))))))</f>
        <v>Marketing</v>
      </c>
      <c r="E33" s="37" t="str">
        <f>CLEAN(TRIM(IF('Raw data for Day5'!D33="germany",PROPER('Raw data for Day5'!D33),IF('Raw data for Day5'!D33="usa",UPPER('Raw data for Day5'!D33),IF('Raw data for Day5'!D33="uk",UPPER('Raw data for Day5'!D33),IF('Raw data for Day5'!D33="india",PROPER('Raw data for Day5'!D33),'Raw data for Day5'!D33))))))</f>
        <v>Un-known</v>
      </c>
      <c r="F33" s="21">
        <f>'Raw data for Day5'!E33</f>
        <v>92259</v>
      </c>
      <c r="G33" s="22" t="str">
        <f>'Raw data for Day5'!F33</f>
        <v>Un-known</v>
      </c>
      <c r="H33" s="36" t="str">
        <f>CLEAN(TRIM('Raw data for Day5'!G33))</f>
        <v>1</v>
      </c>
      <c r="I33" s="35" t="str">
        <f>CLEAN(TRIM('Raw data for Day5'!H33))</f>
        <v>Unknown</v>
      </c>
      <c r="J33" s="35" t="str">
        <f>CLEAN(TRIM(LOWER('Raw data for Day5'!I33)))</f>
        <v>user109@example.com</v>
      </c>
    </row>
    <row r="34" spans="1:10">
      <c r="A34" s="35" t="str">
        <f>CLEAN(TRIM(LEFT('Raw data for Day5'!A34,3)))</f>
        <v>EMP</v>
      </c>
      <c r="B34" s="38" t="str">
        <f>CLEAN(TRIM(RIGHT('Raw data for Day5'!A34,4)))</f>
        <v>1031</v>
      </c>
      <c r="C34" s="35" t="str">
        <f>CLEAN(TRIM(PROPER('Raw data for Day5'!B34)))</f>
        <v>Eve Adams</v>
      </c>
      <c r="D34" s="37" t="str">
        <f>CLEAN(TRIM(IF('Raw data for Day5'!C34="finance",PROPER('Raw data for Day5'!C34),IF('Raw data for Day5'!C34="hr", UPPER('Raw data for Day5'!C34),IF('Raw data for Day5'!C34="it",UPPER('Raw data for Day5'!C34),IF('Raw data for Day5'!C34="sales",PROPER('Raw data for Day5'!C34),IF('Raw data for Day5'!C34="marketing",PROPER('Raw data for Day5'!C34),"Un-known")))))))</f>
        <v>HR</v>
      </c>
      <c r="E34" s="37" t="str">
        <f>CLEAN(TRIM(IF('Raw data for Day5'!D34="germany",PROPER('Raw data for Day5'!D34),IF('Raw data for Day5'!D34="usa",UPPER('Raw data for Day5'!D34),IF('Raw data for Day5'!D34="uk",UPPER('Raw data for Day5'!D34),IF('Raw data for Day5'!D34="india",PROPER('Raw data for Day5'!D34),'Raw data for Day5'!D34))))))</f>
        <v>Germany</v>
      </c>
      <c r="F34" s="21">
        <f>'Raw data for Day5'!E34</f>
        <v>92299</v>
      </c>
      <c r="G34" s="22">
        <f>'Raw data for Day5'!F34</f>
        <v>42225</v>
      </c>
      <c r="H34" s="36" t="str">
        <f>CLEAN(TRIM('Raw data for Day5'!G34))</f>
        <v>3</v>
      </c>
      <c r="I34" s="35" t="str">
        <f>CLEAN(TRIM('Raw data for Day5'!H34))</f>
        <v>Male</v>
      </c>
      <c r="J34" s="35" t="str">
        <f>CLEAN(TRIM(LOWER('Raw data for Day5'!I34)))</f>
        <v>user143@example.com</v>
      </c>
    </row>
    <row r="35" spans="1:10">
      <c r="A35" s="35" t="str">
        <f>CLEAN(TRIM(LEFT('Raw data for Day5'!A35,3)))</f>
        <v>EMP</v>
      </c>
      <c r="B35" s="38" t="str">
        <f>CLEAN(TRIM(RIGHT('Raw data for Day5'!A35,4)))</f>
        <v>1032</v>
      </c>
      <c r="C35" s="35" t="str">
        <f>CLEAN(TRIM(PROPER('Raw data for Day5'!B35)))</f>
        <v>Sam Wilson</v>
      </c>
      <c r="D35" s="37" t="str">
        <f>CLEAN(TRIM(IF('Raw data for Day5'!C35="finance",PROPER('Raw data for Day5'!C35),IF('Raw data for Day5'!C35="hr", UPPER('Raw data for Day5'!C35),IF('Raw data for Day5'!C35="it",UPPER('Raw data for Day5'!C35),IF('Raw data for Day5'!C35="sales",PROPER('Raw data for Day5'!C35),IF('Raw data for Day5'!C35="marketing",PROPER('Raw data for Day5'!C35),"Un-known")))))))</f>
        <v>HR</v>
      </c>
      <c r="E35" s="37" t="str">
        <f>CLEAN(TRIM(IF('Raw data for Day5'!D35="germany",PROPER('Raw data for Day5'!D35),IF('Raw data for Day5'!D35="usa",UPPER('Raw data for Day5'!D35),IF('Raw data for Day5'!D35="uk",UPPER('Raw data for Day5'!D35),IF('Raw data for Day5'!D35="india",PROPER('Raw data for Day5'!D35),'Raw data for Day5'!D35))))))</f>
        <v>Un-known</v>
      </c>
      <c r="F35" s="21">
        <f>'Raw data for Day5'!E35</f>
        <v>95586</v>
      </c>
      <c r="G35" s="22">
        <f>'Raw data for Day5'!F35</f>
        <v>42232</v>
      </c>
      <c r="H35" s="36" t="str">
        <f>CLEAN(TRIM('Raw data for Day5'!G35))</f>
        <v>3</v>
      </c>
      <c r="I35" s="35" t="str">
        <f>CLEAN(TRIM('Raw data for Day5'!H35))</f>
        <v>Other</v>
      </c>
      <c r="J35" s="35" t="str">
        <f>CLEAN(TRIM(LOWER('Raw data for Day5'!I35)))</f>
        <v>user190@example.com</v>
      </c>
    </row>
    <row r="36" spans="1:10">
      <c r="A36" s="35" t="str">
        <f>CLEAN(TRIM(LEFT('Raw data for Day5'!A36,3)))</f>
        <v>EMP</v>
      </c>
      <c r="B36" s="38" t="str">
        <f>CLEAN(TRIM(RIGHT('Raw data for Day5'!A36,4)))</f>
        <v>1033</v>
      </c>
      <c r="C36" s="35" t="str">
        <f>CLEAN(TRIM(PROPER('Raw data for Day5'!B36)))</f>
        <v>Chris Lee</v>
      </c>
      <c r="D36" s="37" t="str">
        <f>CLEAN(TRIM(IF('Raw data for Day5'!C36="finance",PROPER('Raw data for Day5'!C36),IF('Raw data for Day5'!C36="hr", UPPER('Raw data for Day5'!C36),IF('Raw data for Day5'!C36="it",UPPER('Raw data for Day5'!C36),IF('Raw data for Day5'!C36="sales",PROPER('Raw data for Day5'!C36),IF('Raw data for Day5'!C36="marketing",PROPER('Raw data for Day5'!C36),"Un-known")))))))</f>
        <v>Un-known</v>
      </c>
      <c r="E36" s="37" t="str">
        <f>CLEAN(TRIM(IF('Raw data for Day5'!D36="germany",PROPER('Raw data for Day5'!D36),IF('Raw data for Day5'!D36="usa",UPPER('Raw data for Day5'!D36),IF('Raw data for Day5'!D36="uk",UPPER('Raw data for Day5'!D36),IF('Raw data for Day5'!D36="india",PROPER('Raw data for Day5'!D36),'Raw data for Day5'!D36))))))</f>
        <v>USA</v>
      </c>
      <c r="F36" s="21">
        <f>'Raw data for Day5'!E36</f>
        <v>95367</v>
      </c>
      <c r="G36" s="22">
        <f>'Raw data for Day5'!F36</f>
        <v>42239</v>
      </c>
      <c r="H36" s="36" t="str">
        <f>CLEAN(TRIM('Raw data for Day5'!G36))</f>
        <v>N/A</v>
      </c>
      <c r="I36" s="35" t="str">
        <f>CLEAN(TRIM('Raw data for Day5'!H36))</f>
        <v>Male</v>
      </c>
      <c r="J36" s="35" t="str">
        <f>CLEAN(TRIM(LOWER('Raw data for Day5'!I36)))</f>
        <v>user136@example.com</v>
      </c>
    </row>
    <row r="37" spans="1:10">
      <c r="A37" s="35" t="str">
        <f>CLEAN(TRIM(LEFT('Raw data for Day5'!A37,3)))</f>
        <v>EMP</v>
      </c>
      <c r="B37" s="38" t="str">
        <f>CLEAN(TRIM(RIGHT('Raw data for Day5'!A37,4)))</f>
        <v>1034</v>
      </c>
      <c r="C37" s="35" t="str">
        <f>CLEAN(TRIM(PROPER('Raw data for Day5'!B37)))</f>
        <v>John Doe</v>
      </c>
      <c r="D37" s="37" t="str">
        <f>CLEAN(TRIM(IF('Raw data for Day5'!C37="finance",PROPER('Raw data for Day5'!C37),IF('Raw data for Day5'!C37="hr", UPPER('Raw data for Day5'!C37),IF('Raw data for Day5'!C37="it",UPPER('Raw data for Day5'!C37),IF('Raw data for Day5'!C37="sales",PROPER('Raw data for Day5'!C37),IF('Raw data for Day5'!C37="marketing",PROPER('Raw data for Day5'!C37),"Un-known")))))))</f>
        <v>Sales</v>
      </c>
      <c r="E37" s="37" t="str">
        <f>CLEAN(TRIM(IF('Raw data for Day5'!D37="germany",PROPER('Raw data for Day5'!D37),IF('Raw data for Day5'!D37="usa",UPPER('Raw data for Day5'!D37),IF('Raw data for Day5'!D37="uk",UPPER('Raw data for Day5'!D37),IF('Raw data for Day5'!D37="india",PROPER('Raw data for Day5'!D37),'Raw data for Day5'!D37))))))</f>
        <v>Australia</v>
      </c>
      <c r="F37" s="21">
        <f>'Raw data for Day5'!E37</f>
        <v>79549</v>
      </c>
      <c r="G37" s="22">
        <f>'Raw data for Day5'!F37</f>
        <v>42246</v>
      </c>
      <c r="H37" s="36" t="str">
        <f>CLEAN(TRIM('Raw data for Day5'!G37))</f>
        <v>3</v>
      </c>
      <c r="I37" s="35" t="str">
        <f>CLEAN(TRIM('Raw data for Day5'!H37))</f>
        <v>Un-known</v>
      </c>
      <c r="J37" s="35" t="str">
        <f>CLEAN(TRIM(LOWER('Raw data for Day5'!I37)))</f>
        <v>user198@example.com</v>
      </c>
    </row>
    <row r="38" spans="1:10">
      <c r="A38" s="35" t="str">
        <f>CLEAN(TRIM(LEFT('Raw data for Day5'!A38,3)))</f>
        <v>EMP</v>
      </c>
      <c r="B38" s="38" t="str">
        <f>CLEAN(TRIM(RIGHT('Raw data for Day5'!A38,4)))</f>
        <v>1035</v>
      </c>
      <c r="C38" s="35" t="str">
        <f>CLEAN(TRIM(PROPER('Raw data for Day5'!B38)))</f>
        <v>Alice Brown</v>
      </c>
      <c r="D38" s="37" t="str">
        <f>CLEAN(TRIM(IF('Raw data for Day5'!C38="finance",PROPER('Raw data for Day5'!C38),IF('Raw data for Day5'!C38="hr", UPPER('Raw data for Day5'!C38),IF('Raw data for Day5'!C38="it",UPPER('Raw data for Day5'!C38),IF('Raw data for Day5'!C38="sales",PROPER('Raw data for Day5'!C38),IF('Raw data for Day5'!C38="marketing",PROPER('Raw data for Day5'!C38),"Un-known")))))))</f>
        <v>Un-known</v>
      </c>
      <c r="E38" s="37" t="str">
        <f>CLEAN(TRIM(IF('Raw data for Day5'!D38="germany",PROPER('Raw data for Day5'!D38),IF('Raw data for Day5'!D38="usa",UPPER('Raw data for Day5'!D38),IF('Raw data for Day5'!D38="uk",UPPER('Raw data for Day5'!D38),IF('Raw data for Day5'!D38="india",PROPER('Raw data for Day5'!D38),'Raw data for Day5'!D38))))))</f>
        <v>UK</v>
      </c>
      <c r="F38" s="21">
        <f>'Raw data for Day5'!E38</f>
        <v>54463</v>
      </c>
      <c r="G38" s="22">
        <f>'Raw data for Day5'!F38</f>
        <v>42253</v>
      </c>
      <c r="H38" s="36" t="str">
        <f>CLEAN(TRIM('Raw data for Day5'!G38))</f>
        <v>4</v>
      </c>
      <c r="I38" s="35" t="str">
        <f>CLEAN(TRIM('Raw data for Day5'!H38))</f>
        <v>Male</v>
      </c>
      <c r="J38" s="35" t="str">
        <f>CLEAN(TRIM(LOWER('Raw data for Day5'!I38)))</f>
        <v>invalid_email</v>
      </c>
    </row>
    <row r="39" spans="1:10">
      <c r="A39" s="35" t="str">
        <f>CLEAN(TRIM(LEFT('Raw data for Day5'!A39,3)))</f>
        <v>EMP</v>
      </c>
      <c r="B39" s="38" t="str">
        <f>CLEAN(TRIM(RIGHT('Raw data for Day5'!A39,4)))</f>
        <v>1036</v>
      </c>
      <c r="C39" s="35" t="str">
        <f>CLEAN(TRIM(PROPER('Raw data for Day5'!B39)))</f>
        <v>Alice Brown</v>
      </c>
      <c r="D39" s="37" t="str">
        <f>CLEAN(TRIM(IF('Raw data for Day5'!C39="finance",PROPER('Raw data for Day5'!C39),IF('Raw data for Day5'!C39="hr", UPPER('Raw data for Day5'!C39),IF('Raw data for Day5'!C39="it",UPPER('Raw data for Day5'!C39),IF('Raw data for Day5'!C39="sales",PROPER('Raw data for Day5'!C39),IF('Raw data for Day5'!C39="marketing",PROPER('Raw data for Day5'!C39),"Un-known")))))))</f>
        <v>IT</v>
      </c>
      <c r="E39" s="37" t="str">
        <f>CLEAN(TRIM(IF('Raw data for Day5'!D39="germany",PROPER('Raw data for Day5'!D39),IF('Raw data for Day5'!D39="usa",UPPER('Raw data for Day5'!D39),IF('Raw data for Day5'!D39="uk",UPPER('Raw data for Day5'!D39),IF('Raw data for Day5'!D39="india",PROPER('Raw data for Day5'!D39),'Raw data for Day5'!D39))))))</f>
        <v>USA</v>
      </c>
      <c r="F39" s="21">
        <f>'Raw data for Day5'!E39</f>
        <v>89781</v>
      </c>
      <c r="G39" s="22">
        <f>'Raw data for Day5'!F39</f>
        <v>42260</v>
      </c>
      <c r="H39" s="36" t="str">
        <f>CLEAN(TRIM('Raw data for Day5'!G39))</f>
        <v>N/A</v>
      </c>
      <c r="I39" s="35" t="str">
        <f>CLEAN(TRIM('Raw data for Day5'!H39))</f>
        <v>Female</v>
      </c>
      <c r="J39" s="35" t="str">
        <f>CLEAN(TRIM(LOWER('Raw data for Day5'!I39)))</f>
        <v>user31@example.com</v>
      </c>
    </row>
    <row r="40" spans="1:10">
      <c r="A40" s="35" t="str">
        <f>CLEAN(TRIM(LEFT('Raw data for Day5'!A40,3)))</f>
        <v>EMP</v>
      </c>
      <c r="B40" s="38" t="str">
        <f>CLEAN(TRIM(RIGHT('Raw data for Day5'!A40,4)))</f>
        <v>1037</v>
      </c>
      <c r="C40" s="35" t="str">
        <f>CLEAN(TRIM(PROPER('Raw data for Day5'!B40)))</f>
        <v>Alice Brown</v>
      </c>
      <c r="D40" s="37" t="str">
        <f>CLEAN(TRIM(IF('Raw data for Day5'!C40="finance",PROPER('Raw data for Day5'!C40),IF('Raw data for Day5'!C40="hr", UPPER('Raw data for Day5'!C40),IF('Raw data for Day5'!C40="it",UPPER('Raw data for Day5'!C40),IF('Raw data for Day5'!C40="sales",PROPER('Raw data for Day5'!C40),IF('Raw data for Day5'!C40="marketing",PROPER('Raw data for Day5'!C40),"Un-known")))))))</f>
        <v>HR</v>
      </c>
      <c r="E40" s="37" t="str">
        <f>CLEAN(TRIM(IF('Raw data for Day5'!D40="germany",PROPER('Raw data for Day5'!D40),IF('Raw data for Day5'!D40="usa",UPPER('Raw data for Day5'!D40),IF('Raw data for Day5'!D40="uk",UPPER('Raw data for Day5'!D40),IF('Raw data for Day5'!D40="india",PROPER('Raw data for Day5'!D40),'Raw data for Day5'!D40))))))</f>
        <v>Un-known</v>
      </c>
      <c r="F40" s="21">
        <f>'Raw data for Day5'!E40</f>
        <v>64796</v>
      </c>
      <c r="G40" s="22">
        <f>'Raw data for Day5'!F40</f>
        <v>42267</v>
      </c>
      <c r="H40" s="36" t="str">
        <f>CLEAN(TRIM('Raw data for Day5'!G40))</f>
        <v>N/A</v>
      </c>
      <c r="I40" s="35" t="str">
        <f>CLEAN(TRIM('Raw data for Day5'!H40))</f>
        <v>Other</v>
      </c>
      <c r="J40" s="35" t="str">
        <f>CLEAN(TRIM(LOWER('Raw data for Day5'!I40)))</f>
        <v>user98@example.com</v>
      </c>
    </row>
    <row r="41" spans="1:10">
      <c r="A41" s="35" t="str">
        <f>CLEAN(TRIM(LEFT('Raw data for Day5'!A41,3)))</f>
        <v>EMP</v>
      </c>
      <c r="B41" s="38" t="str">
        <f>CLEAN(TRIM(RIGHT('Raw data for Day5'!A41,4)))</f>
        <v>1038</v>
      </c>
      <c r="C41" s="35" t="str">
        <f>CLEAN(TRIM(PROPER('Raw data for Day5'!B41)))</f>
        <v>John Doe</v>
      </c>
      <c r="D41" s="37" t="str">
        <f>CLEAN(TRIM(IF('Raw data for Day5'!C41="finance",PROPER('Raw data for Day5'!C41),IF('Raw data for Day5'!C41="hr", UPPER('Raw data for Day5'!C41),IF('Raw data for Day5'!C41="it",UPPER('Raw data for Day5'!C41),IF('Raw data for Day5'!C41="sales",PROPER('Raw data for Day5'!C41),IF('Raw data for Day5'!C41="marketing",PROPER('Raw data for Day5'!C41),"Un-known")))))))</f>
        <v>Marketing</v>
      </c>
      <c r="E41" s="37" t="str">
        <f>CLEAN(TRIM(IF('Raw data for Day5'!D41="germany",PROPER('Raw data for Day5'!D41),IF('Raw data for Day5'!D41="usa",UPPER('Raw data for Day5'!D41),IF('Raw data for Day5'!D41="uk",UPPER('Raw data for Day5'!D41),IF('Raw data for Day5'!D41="india",PROPER('Raw data for Day5'!D41),'Raw data for Day5'!D41))))))</f>
        <v>UK</v>
      </c>
      <c r="F41" s="21">
        <f>'Raw data for Day5'!E41</f>
        <v>52093</v>
      </c>
      <c r="G41" s="22">
        <f>'Raw data for Day5'!F41</f>
        <v>42274</v>
      </c>
      <c r="H41" s="36" t="str">
        <f>CLEAN(TRIM('Raw data for Day5'!G41))</f>
        <v>5</v>
      </c>
      <c r="I41" s="35" t="str">
        <f>CLEAN(TRIM('Raw data for Day5'!H41))</f>
        <v>Un-known</v>
      </c>
      <c r="J41" s="35" t="str">
        <f>CLEAN(TRIM(LOWER('Raw data for Day5'!I41)))</f>
        <v>user154@example.com</v>
      </c>
    </row>
    <row r="42" spans="1:10">
      <c r="A42" s="35" t="str">
        <f>CLEAN(TRIM(LEFT('Raw data for Day5'!A42,3)))</f>
        <v>EMP</v>
      </c>
      <c r="B42" s="38" t="str">
        <f>CLEAN(TRIM(RIGHT('Raw data for Day5'!A42,4)))</f>
        <v>1039</v>
      </c>
      <c r="C42" s="35" t="str">
        <f>CLEAN(TRIM(PROPER('Raw data for Day5'!B42)))</f>
        <v>Chris Lee</v>
      </c>
      <c r="D42" s="37" t="str">
        <f>CLEAN(TRIM(IF('Raw data for Day5'!C42="finance",PROPER('Raw data for Day5'!C42),IF('Raw data for Day5'!C42="hr", UPPER('Raw data for Day5'!C42),IF('Raw data for Day5'!C42="it",UPPER('Raw data for Day5'!C42),IF('Raw data for Day5'!C42="sales",PROPER('Raw data for Day5'!C42),IF('Raw data for Day5'!C42="marketing",PROPER('Raw data for Day5'!C42),"Un-known")))))))</f>
        <v>HR</v>
      </c>
      <c r="E42" s="37" t="str">
        <f>CLEAN(TRIM(IF('Raw data for Day5'!D42="germany",PROPER('Raw data for Day5'!D42),IF('Raw data for Day5'!D42="usa",UPPER('Raw data for Day5'!D42),IF('Raw data for Day5'!D42="uk",UPPER('Raw data for Day5'!D42),IF('Raw data for Day5'!D42="india",PROPER('Raw data for Day5'!D42),'Raw data for Day5'!D42))))))</f>
        <v>UK</v>
      </c>
      <c r="F42" s="21">
        <f>'Raw data for Day5'!E42</f>
        <v>48224</v>
      </c>
      <c r="G42" s="22">
        <f>'Raw data for Day5'!F42</f>
        <v>42281</v>
      </c>
      <c r="H42" s="36" t="str">
        <f>CLEAN(TRIM('Raw data for Day5'!G42))</f>
        <v>3</v>
      </c>
      <c r="I42" s="35" t="str">
        <f>CLEAN(TRIM('Raw data for Day5'!H42))</f>
        <v>Un-known</v>
      </c>
      <c r="J42" s="35" t="str">
        <f>CLEAN(TRIM(LOWER('Raw data for Day5'!I42)))</f>
        <v>user42@example.com</v>
      </c>
    </row>
    <row r="43" spans="1:10">
      <c r="A43" s="35" t="str">
        <f>CLEAN(TRIM(LEFT('Raw data for Day5'!A43,3)))</f>
        <v>EMP</v>
      </c>
      <c r="B43" s="38" t="str">
        <f>CLEAN(TRIM(RIGHT('Raw data for Day5'!A43,4)))</f>
        <v>1040</v>
      </c>
      <c r="C43" s="35" t="str">
        <f>CLEAN(TRIM(PROPER('Raw data for Day5'!B43)))</f>
        <v>Bob Johnson</v>
      </c>
      <c r="D43" s="37" t="str">
        <f>CLEAN(TRIM(IF('Raw data for Day5'!C43="finance",PROPER('Raw data for Day5'!C43),IF('Raw data for Day5'!C43="hr", UPPER('Raw data for Day5'!C43),IF('Raw data for Day5'!C43="it",UPPER('Raw data for Day5'!C43),IF('Raw data for Day5'!C43="sales",PROPER('Raw data for Day5'!C43),IF('Raw data for Day5'!C43="marketing",PROPER('Raw data for Day5'!C43),"Un-known")))))))</f>
        <v>Finance</v>
      </c>
      <c r="E43" s="37" t="str">
        <f>CLEAN(TRIM(IF('Raw data for Day5'!D43="germany",PROPER('Raw data for Day5'!D43),IF('Raw data for Day5'!D43="usa",UPPER('Raw data for Day5'!D43),IF('Raw data for Day5'!D43="uk",UPPER('Raw data for Day5'!D43),IF('Raw data for Day5'!D43="india",PROPER('Raw data for Day5'!D43),'Raw data for Day5'!D43))))))</f>
        <v>UK</v>
      </c>
      <c r="F43" s="21" t="str">
        <f>'Raw data for Day5'!E43</f>
        <v>0</v>
      </c>
      <c r="G43" s="22" t="str">
        <f>'Raw data for Day5'!F43</f>
        <v>Un-known</v>
      </c>
      <c r="H43" s="36" t="str">
        <f>CLEAN(TRIM('Raw data for Day5'!G43))</f>
        <v>4</v>
      </c>
      <c r="I43" s="35" t="str">
        <f>CLEAN(TRIM('Raw data for Day5'!H43))</f>
        <v>Female</v>
      </c>
      <c r="J43" s="35" t="str">
        <f>CLEAN(TRIM(LOWER('Raw data for Day5'!I43)))</f>
        <v>user89@example.com</v>
      </c>
    </row>
    <row r="44" spans="1:10">
      <c r="A44" s="35" t="str">
        <f>CLEAN(TRIM(LEFT('Raw data for Day5'!A44,3)))</f>
        <v>EMP</v>
      </c>
      <c r="B44" s="38" t="str">
        <f>CLEAN(TRIM(RIGHT('Raw data for Day5'!A44,4)))</f>
        <v>1041</v>
      </c>
      <c r="C44" s="35" t="str">
        <f>CLEAN(TRIM(PROPER('Raw data for Day5'!B44)))</f>
        <v>Alice Brown</v>
      </c>
      <c r="D44" s="37" t="str">
        <f>CLEAN(TRIM(IF('Raw data for Day5'!C44="finance",PROPER('Raw data for Day5'!C44),IF('Raw data for Day5'!C44="hr", UPPER('Raw data for Day5'!C44),IF('Raw data for Day5'!C44="it",UPPER('Raw data for Day5'!C44),IF('Raw data for Day5'!C44="sales",PROPER('Raw data for Day5'!C44),IF('Raw data for Day5'!C44="marketing",PROPER('Raw data for Day5'!C44),"Un-known")))))))</f>
        <v>IT</v>
      </c>
      <c r="E44" s="37" t="str">
        <f>CLEAN(TRIM(IF('Raw data for Day5'!D44="germany",PROPER('Raw data for Day5'!D44),IF('Raw data for Day5'!D44="usa",UPPER('Raw data for Day5'!D44),IF('Raw data for Day5'!D44="uk",UPPER('Raw data for Day5'!D44),IF('Raw data for Day5'!D44="india",PROPER('Raw data for Day5'!D44),'Raw data for Day5'!D44))))))</f>
        <v>Germany</v>
      </c>
      <c r="F44" s="21">
        <f>'Raw data for Day5'!E44</f>
        <v>33956</v>
      </c>
      <c r="G44" s="22">
        <f>'Raw data for Day5'!F44</f>
        <v>42295</v>
      </c>
      <c r="H44" s="36" t="str">
        <f>CLEAN(TRIM('Raw data for Day5'!G44))</f>
        <v>N/A</v>
      </c>
      <c r="I44" s="35" t="str">
        <f>CLEAN(TRIM('Raw data for Day5'!H44))</f>
        <v>Un-known</v>
      </c>
      <c r="J44" s="35" t="str">
        <f>CLEAN(TRIM(LOWER('Raw data for Day5'!I44)))</f>
        <v>user47@example.com</v>
      </c>
    </row>
    <row r="45" spans="1:10">
      <c r="A45" s="35" t="str">
        <f>CLEAN(TRIM(LEFT('Raw data for Day5'!A45,3)))</f>
        <v>EMP</v>
      </c>
      <c r="B45" s="38" t="str">
        <f>CLEAN(TRIM(RIGHT('Raw data for Day5'!A45,4)))</f>
        <v>1042</v>
      </c>
      <c r="C45" s="35" t="str">
        <f>CLEAN(TRIM(PROPER('Raw data for Day5'!B45)))</f>
        <v>Bob Johnson</v>
      </c>
      <c r="D45" s="37" t="str">
        <f>CLEAN(TRIM(IF('Raw data for Day5'!C45="finance",PROPER('Raw data for Day5'!C45),IF('Raw data for Day5'!C45="hr", UPPER('Raw data for Day5'!C45),IF('Raw data for Day5'!C45="it",UPPER('Raw data for Day5'!C45),IF('Raw data for Day5'!C45="sales",PROPER('Raw data for Day5'!C45),IF('Raw data for Day5'!C45="marketing",PROPER('Raw data for Day5'!C45),"Un-known")))))))</f>
        <v>Un-known</v>
      </c>
      <c r="E45" s="37" t="str">
        <f>CLEAN(TRIM(IF('Raw data for Day5'!D45="germany",PROPER('Raw data for Day5'!D45),IF('Raw data for Day5'!D45="usa",UPPER('Raw data for Day5'!D45),IF('Raw data for Day5'!D45="uk",UPPER('Raw data for Day5'!D45),IF('Raw data for Day5'!D45="india",PROPER('Raw data for Day5'!D45),'Raw data for Day5'!D45))))))</f>
        <v>Australia</v>
      </c>
      <c r="F45" s="21">
        <f>'Raw data for Day5'!E45</f>
        <v>64913</v>
      </c>
      <c r="G45" s="22">
        <f>'Raw data for Day5'!F45</f>
        <v>42302</v>
      </c>
      <c r="H45" s="36" t="str">
        <f>CLEAN(TRIM('Raw data for Day5'!G45))</f>
        <v>1</v>
      </c>
      <c r="I45" s="35" t="str">
        <f>CLEAN(TRIM('Raw data for Day5'!H45))</f>
        <v>Female</v>
      </c>
      <c r="J45" s="35" t="str">
        <f>CLEAN(TRIM(LOWER('Raw data for Day5'!I45)))</f>
        <v>user175@example.com</v>
      </c>
    </row>
    <row r="46" spans="1:10">
      <c r="A46" s="35" t="str">
        <f>CLEAN(TRIM(LEFT('Raw data for Day5'!A46,3)))</f>
        <v>EMP</v>
      </c>
      <c r="B46" s="38" t="str">
        <f>CLEAN(TRIM(RIGHT('Raw data for Day5'!A46,4)))</f>
        <v>1043</v>
      </c>
      <c r="C46" s="35" t="str">
        <f>CLEAN(TRIM(PROPER('Raw data for Day5'!B46)))</f>
        <v>Alice Brown</v>
      </c>
      <c r="D46" s="37" t="str">
        <f>CLEAN(TRIM(IF('Raw data for Day5'!C46="finance",PROPER('Raw data for Day5'!C46),IF('Raw data for Day5'!C46="hr", UPPER('Raw data for Day5'!C46),IF('Raw data for Day5'!C46="it",UPPER('Raw data for Day5'!C46),IF('Raw data for Day5'!C46="sales",PROPER('Raw data for Day5'!C46),IF('Raw data for Day5'!C46="marketing",PROPER('Raw data for Day5'!C46),"Un-known")))))))</f>
        <v>Marketing</v>
      </c>
      <c r="E46" s="37" t="str">
        <f>CLEAN(TRIM(IF('Raw data for Day5'!D46="germany",PROPER('Raw data for Day5'!D46),IF('Raw data for Day5'!D46="usa",UPPER('Raw data for Day5'!D46),IF('Raw data for Day5'!D46="uk",UPPER('Raw data for Day5'!D46),IF('Raw data for Day5'!D46="india",PROPER('Raw data for Day5'!D46),'Raw data for Day5'!D46))))))</f>
        <v>Australia</v>
      </c>
      <c r="F46" s="21">
        <f>'Raw data for Day5'!E46</f>
        <v>35326</v>
      </c>
      <c r="G46" s="22">
        <f>'Raw data for Day5'!F46</f>
        <v>42309</v>
      </c>
      <c r="H46" s="36" t="str">
        <f>CLEAN(TRIM('Raw data for Day5'!G46))</f>
        <v>N/A</v>
      </c>
      <c r="I46" s="35" t="str">
        <f>CLEAN(TRIM('Raw data for Day5'!H46))</f>
        <v>Female</v>
      </c>
      <c r="J46" s="35" t="str">
        <f>CLEAN(TRIM(LOWER('Raw data for Day5'!I46)))</f>
        <v>user57@example.com</v>
      </c>
    </row>
    <row r="47" spans="1:10">
      <c r="A47" s="35" t="str">
        <f>CLEAN(TRIM(LEFT('Raw data for Day5'!A47,3)))</f>
        <v>EMP</v>
      </c>
      <c r="B47" s="38" t="str">
        <f>CLEAN(TRIM(RIGHT('Raw data for Day5'!A47,4)))</f>
        <v>1044</v>
      </c>
      <c r="C47" s="35" t="str">
        <f>CLEAN(TRIM(PROPER('Raw data for Day5'!B47)))</f>
        <v>Chris Lee</v>
      </c>
      <c r="D47" s="37" t="str">
        <f>CLEAN(TRIM(IF('Raw data for Day5'!C47="finance",PROPER('Raw data for Day5'!C47),IF('Raw data for Day5'!C47="hr", UPPER('Raw data for Day5'!C47),IF('Raw data for Day5'!C47="it",UPPER('Raw data for Day5'!C47),IF('Raw data for Day5'!C47="sales",PROPER('Raw data for Day5'!C47),IF('Raw data for Day5'!C47="marketing",PROPER('Raw data for Day5'!C47),"Un-known")))))))</f>
        <v>Finance</v>
      </c>
      <c r="E47" s="37" t="str">
        <f>CLEAN(TRIM(IF('Raw data for Day5'!D47="germany",PROPER('Raw data for Day5'!D47),IF('Raw data for Day5'!D47="usa",UPPER('Raw data for Day5'!D47),IF('Raw data for Day5'!D47="uk",UPPER('Raw data for Day5'!D47),IF('Raw data for Day5'!D47="india",PROPER('Raw data for Day5'!D47),'Raw data for Day5'!D47))))))</f>
        <v>Un-known</v>
      </c>
      <c r="F47" s="21">
        <f>'Raw data for Day5'!E47</f>
        <v>81610</v>
      </c>
      <c r="G47" s="22">
        <f>'Raw data for Day5'!F47</f>
        <v>42316</v>
      </c>
      <c r="H47" s="36" t="str">
        <f>CLEAN(TRIM('Raw data for Day5'!G47))</f>
        <v>1</v>
      </c>
      <c r="I47" s="35" t="str">
        <f>CLEAN(TRIM('Raw data for Day5'!H47))</f>
        <v>Un-known</v>
      </c>
      <c r="J47" s="35" t="str">
        <f>CLEAN(TRIM(LOWER('Raw data for Day5'!I47)))</f>
        <v>user20@example.com</v>
      </c>
    </row>
    <row r="48" spans="1:10">
      <c r="A48" s="35" t="str">
        <f>CLEAN(TRIM(LEFT('Raw data for Day5'!A48,3)))</f>
        <v>EMP</v>
      </c>
      <c r="B48" s="38" t="str">
        <f>CLEAN(TRIM(RIGHT('Raw data for Day5'!A48,4)))</f>
        <v>1045</v>
      </c>
      <c r="C48" s="35" t="str">
        <f>CLEAN(TRIM(PROPER('Raw data for Day5'!B48)))</f>
        <v>Un-Known</v>
      </c>
      <c r="D48" s="37" t="str">
        <f>CLEAN(TRIM(IF('Raw data for Day5'!C48="finance",PROPER('Raw data for Day5'!C48),IF('Raw data for Day5'!C48="hr", UPPER('Raw data for Day5'!C48),IF('Raw data for Day5'!C48="it",UPPER('Raw data for Day5'!C48),IF('Raw data for Day5'!C48="sales",PROPER('Raw data for Day5'!C48),IF('Raw data for Day5'!C48="marketing",PROPER('Raw data for Day5'!C48),"Un-known")))))))</f>
        <v>HR</v>
      </c>
      <c r="E48" s="37" t="str">
        <f>CLEAN(TRIM(IF('Raw data for Day5'!D48="germany",PROPER('Raw data for Day5'!D48),IF('Raw data for Day5'!D48="usa",UPPER('Raw data for Day5'!D48),IF('Raw data for Day5'!D48="uk",UPPER('Raw data for Day5'!D48),IF('Raw data for Day5'!D48="india",PROPER('Raw data for Day5'!D48),'Raw data for Day5'!D48))))))</f>
        <v>Un-known</v>
      </c>
      <c r="F48" s="21">
        <f>'Raw data for Day5'!E48</f>
        <v>58962</v>
      </c>
      <c r="G48" s="22">
        <f>'Raw data for Day5'!F48</f>
        <v>42323</v>
      </c>
      <c r="H48" s="36" t="str">
        <f>CLEAN(TRIM('Raw data for Day5'!G48))</f>
        <v>3</v>
      </c>
      <c r="I48" s="35" t="str">
        <f>CLEAN(TRIM('Raw data for Day5'!H48))</f>
        <v>Other</v>
      </c>
      <c r="J48" s="35" t="str">
        <f>CLEAN(TRIM(LOWER('Raw data for Day5'!I48)))</f>
        <v>user106@example.com</v>
      </c>
    </row>
    <row r="49" spans="1:10">
      <c r="A49" s="35" t="str">
        <f>CLEAN(TRIM(LEFT('Raw data for Day5'!A49,3)))</f>
        <v>EMP</v>
      </c>
      <c r="B49" s="38" t="str">
        <f>CLEAN(TRIM(RIGHT('Raw data for Day5'!A49,4)))</f>
        <v>1046</v>
      </c>
      <c r="C49" s="35" t="str">
        <f>CLEAN(TRIM(PROPER('Raw data for Day5'!B49)))</f>
        <v>Chris Lee</v>
      </c>
      <c r="D49" s="37" t="str">
        <f>CLEAN(TRIM(IF('Raw data for Day5'!C49="finance",PROPER('Raw data for Day5'!C49),IF('Raw data for Day5'!C49="hr", UPPER('Raw data for Day5'!C49),IF('Raw data for Day5'!C49="it",UPPER('Raw data for Day5'!C49),IF('Raw data for Day5'!C49="sales",PROPER('Raw data for Day5'!C49),IF('Raw data for Day5'!C49="marketing",PROPER('Raw data for Day5'!C49),"Un-known")))))))</f>
        <v>IT</v>
      </c>
      <c r="E49" s="37" t="str">
        <f>CLEAN(TRIM(IF('Raw data for Day5'!D49="germany",PROPER('Raw data for Day5'!D49),IF('Raw data for Day5'!D49="usa",UPPER('Raw data for Day5'!D49),IF('Raw data for Day5'!D49="uk",UPPER('Raw data for Day5'!D49),IF('Raw data for Day5'!D49="india",PROPER('Raw data for Day5'!D49),'Raw data for Day5'!D49))))))</f>
        <v>Germany</v>
      </c>
      <c r="F49" s="21">
        <f>'Raw data for Day5'!E49</f>
        <v>92701</v>
      </c>
      <c r="G49" s="22">
        <f>'Raw data for Day5'!F49</f>
        <v>42330</v>
      </c>
      <c r="H49" s="36" t="str">
        <f>CLEAN(TRIM('Raw data for Day5'!G49))</f>
        <v>3</v>
      </c>
      <c r="I49" s="35" t="str">
        <f>CLEAN(TRIM('Raw data for Day5'!H49))</f>
        <v>Other</v>
      </c>
      <c r="J49" s="35" t="str">
        <f>CLEAN(TRIM(LOWER('Raw data for Day5'!I49)))</f>
        <v>user199@example.com</v>
      </c>
    </row>
    <row r="50" spans="1:10">
      <c r="A50" s="35" t="str">
        <f>CLEAN(TRIM(LEFT('Raw data for Day5'!A50,3)))</f>
        <v>EMP</v>
      </c>
      <c r="B50" s="38" t="str">
        <f>CLEAN(TRIM(RIGHT('Raw data for Day5'!A50,4)))</f>
        <v>1047</v>
      </c>
      <c r="C50" s="35" t="str">
        <f>CLEAN(TRIM(PROPER('Raw data for Day5'!B50)))</f>
        <v>Chris Lee</v>
      </c>
      <c r="D50" s="37" t="str">
        <f>CLEAN(TRIM(IF('Raw data for Day5'!C50="finance",PROPER('Raw data for Day5'!C50),IF('Raw data for Day5'!C50="hr", UPPER('Raw data for Day5'!C50),IF('Raw data for Day5'!C50="it",UPPER('Raw data for Day5'!C50),IF('Raw data for Day5'!C50="sales",PROPER('Raw data for Day5'!C50),IF('Raw data for Day5'!C50="marketing",PROPER('Raw data for Day5'!C50),"Un-known")))))))</f>
        <v>HR</v>
      </c>
      <c r="E50" s="37" t="str">
        <f>CLEAN(TRIM(IF('Raw data for Day5'!D50="germany",PROPER('Raw data for Day5'!D50),IF('Raw data for Day5'!D50="usa",UPPER('Raw data for Day5'!D50),IF('Raw data for Day5'!D50="uk",UPPER('Raw data for Day5'!D50),IF('Raw data for Day5'!D50="india",PROPER('Raw data for Day5'!D50),'Raw data for Day5'!D50))))))</f>
        <v>India</v>
      </c>
      <c r="F50" s="21">
        <f>'Raw data for Day5'!E50</f>
        <v>58245</v>
      </c>
      <c r="G50" s="22">
        <f>'Raw data for Day5'!F50</f>
        <v>42337</v>
      </c>
      <c r="H50" s="36" t="str">
        <f>CLEAN(TRIM('Raw data for Day5'!G50))</f>
        <v>4</v>
      </c>
      <c r="I50" s="35" t="str">
        <f>CLEAN(TRIM('Raw data for Day5'!H50))</f>
        <v>Un-known</v>
      </c>
      <c r="J50" s="35" t="str">
        <f>CLEAN(TRIM(LOWER('Raw data for Day5'!I50)))</f>
        <v>user43@example.com</v>
      </c>
    </row>
    <row r="51" spans="1:10">
      <c r="A51" s="35" t="str">
        <f>CLEAN(TRIM(LEFT('Raw data for Day5'!A51,3)))</f>
        <v>EMP</v>
      </c>
      <c r="B51" s="38" t="str">
        <f>CLEAN(TRIM(RIGHT('Raw data for Day5'!A51,4)))</f>
        <v>1048</v>
      </c>
      <c r="C51" s="35" t="str">
        <f>CLEAN(TRIM(PROPER('Raw data for Day5'!B51)))</f>
        <v>John Doe</v>
      </c>
      <c r="D51" s="37" t="str">
        <f>CLEAN(TRIM(IF('Raw data for Day5'!C51="finance",PROPER('Raw data for Day5'!C51),IF('Raw data for Day5'!C51="hr", UPPER('Raw data for Day5'!C51),IF('Raw data for Day5'!C51="it",UPPER('Raw data for Day5'!C51),IF('Raw data for Day5'!C51="sales",PROPER('Raw data for Day5'!C51),IF('Raw data for Day5'!C51="marketing",PROPER('Raw data for Day5'!C51),"Un-known")))))))</f>
        <v>Finance</v>
      </c>
      <c r="E51" s="37" t="str">
        <f>CLEAN(TRIM(IF('Raw data for Day5'!D51="germany",PROPER('Raw data for Day5'!D51),IF('Raw data for Day5'!D51="usa",UPPER('Raw data for Day5'!D51),IF('Raw data for Day5'!D51="uk",UPPER('Raw data for Day5'!D51),IF('Raw data for Day5'!D51="india",PROPER('Raw data for Day5'!D51),'Raw data for Day5'!D51))))))</f>
        <v>Un-known</v>
      </c>
      <c r="F51" s="21">
        <f>'Raw data for Day5'!E51</f>
        <v>66513</v>
      </c>
      <c r="G51" s="22">
        <f>'Raw data for Day5'!F51</f>
        <v>42344</v>
      </c>
      <c r="H51" s="36" t="str">
        <f>CLEAN(TRIM('Raw data for Day5'!G51))</f>
        <v>2</v>
      </c>
      <c r="I51" s="35" t="str">
        <f>CLEAN(TRIM('Raw data for Day5'!H51))</f>
        <v>Other</v>
      </c>
      <c r="J51" s="35" t="str">
        <f>CLEAN(TRIM(LOWER('Raw data for Day5'!I51)))</f>
        <v>user24@example.com</v>
      </c>
    </row>
    <row r="52" spans="1:10">
      <c r="A52" s="35" t="str">
        <f>CLEAN(TRIM(LEFT('Raw data for Day5'!A52,3)))</f>
        <v>EMP</v>
      </c>
      <c r="B52" s="38" t="str">
        <f>CLEAN(TRIM(RIGHT('Raw data for Day5'!A52,4)))</f>
        <v>1049</v>
      </c>
      <c r="C52" s="35" t="str">
        <f>CLEAN(TRIM(PROPER('Raw data for Day5'!B52)))</f>
        <v>Eve Adams</v>
      </c>
      <c r="D52" s="37" t="str">
        <f>CLEAN(TRIM(IF('Raw data for Day5'!C52="finance",PROPER('Raw data for Day5'!C52),IF('Raw data for Day5'!C52="hr", UPPER('Raw data for Day5'!C52),IF('Raw data for Day5'!C52="it",UPPER('Raw data for Day5'!C52),IF('Raw data for Day5'!C52="sales",PROPER('Raw data for Day5'!C52),IF('Raw data for Day5'!C52="marketing",PROPER('Raw data for Day5'!C52),"Un-known")))))))</f>
        <v>HR</v>
      </c>
      <c r="E52" s="37" t="str">
        <f>CLEAN(TRIM(IF('Raw data for Day5'!D52="germany",PROPER('Raw data for Day5'!D52),IF('Raw data for Day5'!D52="usa",UPPER('Raw data for Day5'!D52),IF('Raw data for Day5'!D52="uk",UPPER('Raw data for Day5'!D52),IF('Raw data for Day5'!D52="india",PROPER('Raw data for Day5'!D52),'Raw data for Day5'!D52))))))</f>
        <v>Germany</v>
      </c>
      <c r="F52" s="21">
        <f>'Raw data for Day5'!E52</f>
        <v>78720</v>
      </c>
      <c r="G52" s="22">
        <f>'Raw data for Day5'!F52</f>
        <v>42351</v>
      </c>
      <c r="H52" s="36" t="str">
        <f>CLEAN(TRIM('Raw data for Day5'!G52))</f>
        <v>5</v>
      </c>
      <c r="I52" s="35" t="str">
        <f>CLEAN(TRIM('Raw data for Day5'!H52))</f>
        <v>Female</v>
      </c>
      <c r="J52" s="35" t="str">
        <f>CLEAN(TRIM(LOWER('Raw data for Day5'!I52)))</f>
        <v>user89@example.com</v>
      </c>
    </row>
    <row r="53" spans="1:10">
      <c r="A53" s="35" t="str">
        <f>CLEAN(TRIM(LEFT('Raw data for Day5'!A53,3)))</f>
        <v>EMP</v>
      </c>
      <c r="B53" s="38" t="str">
        <f>CLEAN(TRIM(RIGHT('Raw data for Day5'!A53,4)))</f>
        <v>1050</v>
      </c>
      <c r="C53" s="35" t="str">
        <f>CLEAN(TRIM(PROPER('Raw data for Day5'!B53)))</f>
        <v>Chris Lee</v>
      </c>
      <c r="D53" s="37" t="str">
        <f>CLEAN(TRIM(IF('Raw data for Day5'!C53="finance",PROPER('Raw data for Day5'!C53),IF('Raw data for Day5'!C53="hr", UPPER('Raw data for Day5'!C53),IF('Raw data for Day5'!C53="it",UPPER('Raw data for Day5'!C53),IF('Raw data for Day5'!C53="sales",PROPER('Raw data for Day5'!C53),IF('Raw data for Day5'!C53="marketing",PROPER('Raw data for Day5'!C53),"Un-known")))))))</f>
        <v>Un-known</v>
      </c>
      <c r="E53" s="37" t="str">
        <f>CLEAN(TRIM(IF('Raw data for Day5'!D53="germany",PROPER('Raw data for Day5'!D53),IF('Raw data for Day5'!D53="usa",UPPER('Raw data for Day5'!D53),IF('Raw data for Day5'!D53="uk",UPPER('Raw data for Day5'!D53),IF('Raw data for Day5'!D53="india",PROPER('Raw data for Day5'!D53),'Raw data for Day5'!D53))))))</f>
        <v>Un-known</v>
      </c>
      <c r="F53" s="21">
        <f>'Raw data for Day5'!E53</f>
        <v>30686</v>
      </c>
      <c r="G53" s="22" t="str">
        <f>'Raw data for Day5'!F53</f>
        <v>Un-known</v>
      </c>
      <c r="H53" s="36" t="str">
        <f>CLEAN(TRIM('Raw data for Day5'!G53))</f>
        <v>2</v>
      </c>
      <c r="I53" s="35" t="str">
        <f>CLEAN(TRIM('Raw data for Day5'!H53))</f>
        <v>Female</v>
      </c>
      <c r="J53" s="35" t="str">
        <f>CLEAN(TRIM(LOWER('Raw data for Day5'!I53)))</f>
        <v>user95@example.com</v>
      </c>
    </row>
    <row r="54" spans="1:10">
      <c r="A54" s="35" t="str">
        <f>CLEAN(TRIM(LEFT('Raw data for Day5'!A54,3)))</f>
        <v>EMP</v>
      </c>
      <c r="B54" s="38" t="str">
        <f>CLEAN(TRIM(RIGHT('Raw data for Day5'!A54,4)))</f>
        <v>1051</v>
      </c>
      <c r="C54" s="35" t="str">
        <f>CLEAN(TRIM(PROPER('Raw data for Day5'!B54)))</f>
        <v>Sam Wilson</v>
      </c>
      <c r="D54" s="37" t="str">
        <f>CLEAN(TRIM(IF('Raw data for Day5'!C54="finance",PROPER('Raw data for Day5'!C54),IF('Raw data for Day5'!C54="hr", UPPER('Raw data for Day5'!C54),IF('Raw data for Day5'!C54="it",UPPER('Raw data for Day5'!C54),IF('Raw data for Day5'!C54="sales",PROPER('Raw data for Day5'!C54),IF('Raw data for Day5'!C54="marketing",PROPER('Raw data for Day5'!C54),"Un-known")))))))</f>
        <v>Sales</v>
      </c>
      <c r="E54" s="37" t="str">
        <f>CLEAN(TRIM(IF('Raw data for Day5'!D54="germany",PROPER('Raw data for Day5'!D54),IF('Raw data for Day5'!D54="usa",UPPER('Raw data for Day5'!D54),IF('Raw data for Day5'!D54="uk",UPPER('Raw data for Day5'!D54),IF('Raw data for Day5'!D54="india",PROPER('Raw data for Day5'!D54),'Raw data for Day5'!D54))))))</f>
        <v>India</v>
      </c>
      <c r="F54" s="21">
        <f>'Raw data for Day5'!E54</f>
        <v>39423</v>
      </c>
      <c r="G54" s="22">
        <f>'Raw data for Day5'!F54</f>
        <v>42365</v>
      </c>
      <c r="H54" s="36" t="str">
        <f>CLEAN(TRIM('Raw data for Day5'!G54))</f>
        <v>5</v>
      </c>
      <c r="I54" s="35" t="str">
        <f>CLEAN(TRIM('Raw data for Day5'!H54))</f>
        <v>Un-known</v>
      </c>
      <c r="J54" s="35" t="str">
        <f>CLEAN(TRIM(LOWER('Raw data for Day5'!I54)))</f>
        <v>user59@example.com</v>
      </c>
    </row>
    <row r="55" spans="1:10">
      <c r="A55" s="35" t="str">
        <f>CLEAN(TRIM(LEFT('Raw data for Day5'!A55,3)))</f>
        <v>EMP</v>
      </c>
      <c r="B55" s="38" t="str">
        <f>CLEAN(TRIM(RIGHT('Raw data for Day5'!A55,4)))</f>
        <v>1052</v>
      </c>
      <c r="C55" s="35" t="str">
        <f>CLEAN(TRIM(PROPER('Raw data for Day5'!B55)))</f>
        <v>Eve Adams</v>
      </c>
      <c r="D55" s="37" t="str">
        <f>CLEAN(TRIM(IF('Raw data for Day5'!C55="finance",PROPER('Raw data for Day5'!C55),IF('Raw data for Day5'!C55="hr", UPPER('Raw data for Day5'!C55),IF('Raw data for Day5'!C55="it",UPPER('Raw data for Day5'!C55),IF('Raw data for Day5'!C55="sales",PROPER('Raw data for Day5'!C55),IF('Raw data for Day5'!C55="marketing",PROPER('Raw data for Day5'!C55),"Un-known")))))))</f>
        <v>Marketing</v>
      </c>
      <c r="E55" s="37" t="str">
        <f>CLEAN(TRIM(IF('Raw data for Day5'!D55="germany",PROPER('Raw data for Day5'!D55),IF('Raw data for Day5'!D55="usa",UPPER('Raw data for Day5'!D55),IF('Raw data for Day5'!D55="uk",UPPER('Raw data for Day5'!D55),IF('Raw data for Day5'!D55="india",PROPER('Raw data for Day5'!D55),'Raw data for Day5'!D55))))))</f>
        <v>Un-known</v>
      </c>
      <c r="F55" s="21">
        <f>'Raw data for Day5'!E55</f>
        <v>30280</v>
      </c>
      <c r="G55" s="22">
        <f>'Raw data for Day5'!F55</f>
        <v>42372</v>
      </c>
      <c r="H55" s="36" t="str">
        <f>CLEAN(TRIM('Raw data for Day5'!G55))</f>
        <v>1</v>
      </c>
      <c r="I55" s="35" t="str">
        <f>CLEAN(TRIM('Raw data for Day5'!H55))</f>
        <v>Un-known</v>
      </c>
      <c r="J55" s="35" t="str">
        <f>CLEAN(TRIM(LOWER('Raw data for Day5'!I55)))</f>
        <v>user152@example.com</v>
      </c>
    </row>
    <row r="56" spans="1:10">
      <c r="A56" s="35" t="str">
        <f>CLEAN(TRIM(LEFT('Raw data for Day5'!A56,3)))</f>
        <v>EMP</v>
      </c>
      <c r="B56" s="38" t="str">
        <f>CLEAN(TRIM(RIGHT('Raw data for Day5'!A56,4)))</f>
        <v>1053</v>
      </c>
      <c r="C56" s="35" t="str">
        <f>CLEAN(TRIM(PROPER('Raw data for Day5'!B56)))</f>
        <v>Eve Adams</v>
      </c>
      <c r="D56" s="37" t="str">
        <f>CLEAN(TRIM(IF('Raw data for Day5'!C56="finance",PROPER('Raw data for Day5'!C56),IF('Raw data for Day5'!C56="hr", UPPER('Raw data for Day5'!C56),IF('Raw data for Day5'!C56="it",UPPER('Raw data for Day5'!C56),IF('Raw data for Day5'!C56="sales",PROPER('Raw data for Day5'!C56),IF('Raw data for Day5'!C56="marketing",PROPER('Raw data for Day5'!C56),"Un-known")))))))</f>
        <v>Finance</v>
      </c>
      <c r="E56" s="37" t="str">
        <f>CLEAN(TRIM(IF('Raw data for Day5'!D56="germany",PROPER('Raw data for Day5'!D56),IF('Raw data for Day5'!D56="usa",UPPER('Raw data for Day5'!D56),IF('Raw data for Day5'!D56="uk",UPPER('Raw data for Day5'!D56),IF('Raw data for Day5'!D56="india",PROPER('Raw data for Day5'!D56),'Raw data for Day5'!D56))))))</f>
        <v>UK</v>
      </c>
      <c r="F56" s="21">
        <f>'Raw data for Day5'!E56</f>
        <v>33352</v>
      </c>
      <c r="G56" s="22">
        <f>'Raw data for Day5'!F56</f>
        <v>42379</v>
      </c>
      <c r="H56" s="36" t="str">
        <f>CLEAN(TRIM('Raw data for Day5'!G56))</f>
        <v>3</v>
      </c>
      <c r="I56" s="35" t="str">
        <f>CLEAN(TRIM('Raw data for Day5'!H56))</f>
        <v>Female</v>
      </c>
      <c r="J56" s="35" t="str">
        <f>CLEAN(TRIM(LOWER('Raw data for Day5'!I56)))</f>
        <v>user200@example.com</v>
      </c>
    </row>
    <row r="57" spans="1:10">
      <c r="A57" s="35" t="str">
        <f>CLEAN(TRIM(LEFT('Raw data for Day5'!A57,3)))</f>
        <v>EMP</v>
      </c>
      <c r="B57" s="38" t="str">
        <f>CLEAN(TRIM(RIGHT('Raw data for Day5'!A57,4)))</f>
        <v>1054</v>
      </c>
      <c r="C57" s="35" t="str">
        <f>CLEAN(TRIM(PROPER('Raw data for Day5'!B57)))</f>
        <v>Bob Johnson</v>
      </c>
      <c r="D57" s="37" t="str">
        <f>CLEAN(TRIM(IF('Raw data for Day5'!C57="finance",PROPER('Raw data for Day5'!C57),IF('Raw data for Day5'!C57="hr", UPPER('Raw data for Day5'!C57),IF('Raw data for Day5'!C57="it",UPPER('Raw data for Day5'!C57),IF('Raw data for Day5'!C57="sales",PROPER('Raw data for Day5'!C57),IF('Raw data for Day5'!C57="marketing",PROPER('Raw data for Day5'!C57),"Un-known")))))))</f>
        <v>Marketing</v>
      </c>
      <c r="E57" s="37" t="str">
        <f>CLEAN(TRIM(IF('Raw data for Day5'!D57="germany",PROPER('Raw data for Day5'!D57),IF('Raw data for Day5'!D57="usa",UPPER('Raw data for Day5'!D57),IF('Raw data for Day5'!D57="uk",UPPER('Raw data for Day5'!D57),IF('Raw data for Day5'!D57="india",PROPER('Raw data for Day5'!D57),'Raw data for Day5'!D57))))))</f>
        <v>UK</v>
      </c>
      <c r="F57" s="21">
        <f>'Raw data for Day5'!E57</f>
        <v>75633</v>
      </c>
      <c r="G57" s="22">
        <f>'Raw data for Day5'!F57</f>
        <v>42386</v>
      </c>
      <c r="H57" s="36" t="str">
        <f>CLEAN(TRIM('Raw data for Day5'!G57))</f>
        <v>5</v>
      </c>
      <c r="I57" s="35" t="str">
        <f>CLEAN(TRIM('Raw data for Day5'!H57))</f>
        <v>Other</v>
      </c>
      <c r="J57" s="35" t="str">
        <f>CLEAN(TRIM(LOWER('Raw data for Day5'!I57)))</f>
        <v>user92@example.com</v>
      </c>
    </row>
    <row r="58" spans="1:10">
      <c r="A58" s="35" t="str">
        <f>CLEAN(TRIM(LEFT('Raw data for Day5'!A58,3)))</f>
        <v>EMP</v>
      </c>
      <c r="B58" s="38" t="str">
        <f>CLEAN(TRIM(RIGHT('Raw data for Day5'!A58,4)))</f>
        <v>1055</v>
      </c>
      <c r="C58" s="35" t="str">
        <f>CLEAN(TRIM(PROPER('Raw data for Day5'!B58)))</f>
        <v>Chris Lee</v>
      </c>
      <c r="D58" s="37" t="str">
        <f>CLEAN(TRIM(IF('Raw data for Day5'!C58="finance",PROPER('Raw data for Day5'!C58),IF('Raw data for Day5'!C58="hr", UPPER('Raw data for Day5'!C58),IF('Raw data for Day5'!C58="it",UPPER('Raw data for Day5'!C58),IF('Raw data for Day5'!C58="sales",PROPER('Raw data for Day5'!C58),IF('Raw data for Day5'!C58="marketing",PROPER('Raw data for Day5'!C58),"Un-known")))))))</f>
        <v>Un-known</v>
      </c>
      <c r="E58" s="37" t="str">
        <f>CLEAN(TRIM(IF('Raw data for Day5'!D58="germany",PROPER('Raw data for Day5'!D58),IF('Raw data for Day5'!D58="usa",UPPER('Raw data for Day5'!D58),IF('Raw data for Day5'!D58="uk",UPPER('Raw data for Day5'!D58),IF('Raw data for Day5'!D58="india",PROPER('Raw data for Day5'!D58),'Raw data for Day5'!D58))))))</f>
        <v>USA</v>
      </c>
      <c r="F58" s="21">
        <f>'Raw data for Day5'!E58</f>
        <v>74815</v>
      </c>
      <c r="G58" s="22">
        <f>'Raw data for Day5'!F58</f>
        <v>42393</v>
      </c>
      <c r="H58" s="36" t="str">
        <f>CLEAN(TRIM('Raw data for Day5'!G58))</f>
        <v>5</v>
      </c>
      <c r="I58" s="35" t="str">
        <f>CLEAN(TRIM('Raw data for Day5'!H58))</f>
        <v>Female</v>
      </c>
      <c r="J58" s="35" t="str">
        <f>CLEAN(TRIM(LOWER('Raw data for Day5'!I58)))</f>
        <v>user50@example.com</v>
      </c>
    </row>
    <row r="59" spans="1:10">
      <c r="A59" s="35" t="str">
        <f>CLEAN(TRIM(LEFT('Raw data for Day5'!A59,3)))</f>
        <v>EMP</v>
      </c>
      <c r="B59" s="38" t="str">
        <f>CLEAN(TRIM(RIGHT('Raw data for Day5'!A59,4)))</f>
        <v>1056</v>
      </c>
      <c r="C59" s="35" t="str">
        <f>CLEAN(TRIM(PROPER('Raw data for Day5'!B59)))</f>
        <v>John Doe</v>
      </c>
      <c r="D59" s="37" t="str">
        <f>CLEAN(TRIM(IF('Raw data for Day5'!C59="finance",PROPER('Raw data for Day5'!C59),IF('Raw data for Day5'!C59="hr", UPPER('Raw data for Day5'!C59),IF('Raw data for Day5'!C59="it",UPPER('Raw data for Day5'!C59),IF('Raw data for Day5'!C59="sales",PROPER('Raw data for Day5'!C59),IF('Raw data for Day5'!C59="marketing",PROPER('Raw data for Day5'!C59),"Un-known")))))))</f>
        <v>Sales</v>
      </c>
      <c r="E59" s="37" t="str">
        <f>CLEAN(TRIM(IF('Raw data for Day5'!D59="germany",PROPER('Raw data for Day5'!D59),IF('Raw data for Day5'!D59="usa",UPPER('Raw data for Day5'!D59),IF('Raw data for Day5'!D59="uk",UPPER('Raw data for Day5'!D59),IF('Raw data for Day5'!D59="india",PROPER('Raw data for Day5'!D59),'Raw data for Day5'!D59))))))</f>
        <v>Australia</v>
      </c>
      <c r="F59" s="21">
        <f>'Raw data for Day5'!E59</f>
        <v>60011</v>
      </c>
      <c r="G59" s="22">
        <f>'Raw data for Day5'!F59</f>
        <v>42400</v>
      </c>
      <c r="H59" s="36" t="str">
        <f>CLEAN(TRIM('Raw data for Day5'!G59))</f>
        <v>1</v>
      </c>
      <c r="I59" s="35" t="str">
        <f>CLEAN(TRIM('Raw data for Day5'!H59))</f>
        <v>Male</v>
      </c>
      <c r="J59" s="35" t="str">
        <f>CLEAN(TRIM(LOWER('Raw data for Day5'!I59)))</f>
        <v>user63@example.com</v>
      </c>
    </row>
    <row r="60" spans="1:10">
      <c r="A60" s="35" t="str">
        <f>CLEAN(TRIM(LEFT('Raw data for Day5'!A60,3)))</f>
        <v>EMP</v>
      </c>
      <c r="B60" s="38" t="str">
        <f>CLEAN(TRIM(RIGHT('Raw data for Day5'!A60,4)))</f>
        <v>1057</v>
      </c>
      <c r="C60" s="35" t="str">
        <f>CLEAN(TRIM(PROPER('Raw data for Day5'!B60)))</f>
        <v>Eve Adams</v>
      </c>
      <c r="D60" s="37" t="str">
        <f>CLEAN(TRIM(IF('Raw data for Day5'!C60="finance",PROPER('Raw data for Day5'!C60),IF('Raw data for Day5'!C60="hr", UPPER('Raw data for Day5'!C60),IF('Raw data for Day5'!C60="it",UPPER('Raw data for Day5'!C60),IF('Raw data for Day5'!C60="sales",PROPER('Raw data for Day5'!C60),IF('Raw data for Day5'!C60="marketing",PROPER('Raw data for Day5'!C60),"Un-known")))))))</f>
        <v>Un-known</v>
      </c>
      <c r="E60" s="37" t="str">
        <f>CLEAN(TRIM(IF('Raw data for Day5'!D60="germany",PROPER('Raw data for Day5'!D60),IF('Raw data for Day5'!D60="usa",UPPER('Raw data for Day5'!D60),IF('Raw data for Day5'!D60="uk",UPPER('Raw data for Day5'!D60),IF('Raw data for Day5'!D60="india",PROPER('Raw data for Day5'!D60),'Raw data for Day5'!D60))))))</f>
        <v>India</v>
      </c>
      <c r="F60" s="21">
        <f>'Raw data for Day5'!E60</f>
        <v>96949</v>
      </c>
      <c r="G60" s="22">
        <f>'Raw data for Day5'!F60</f>
        <v>42407</v>
      </c>
      <c r="H60" s="36" t="str">
        <f>CLEAN(TRIM('Raw data for Day5'!G60))</f>
        <v>3</v>
      </c>
      <c r="I60" s="35" t="str">
        <f>CLEAN(TRIM('Raw data for Day5'!H60))</f>
        <v>Un-known</v>
      </c>
      <c r="J60" s="35" t="str">
        <f>CLEAN(TRIM(LOWER('Raw data for Day5'!I60)))</f>
        <v>user103@example.com</v>
      </c>
    </row>
    <row r="61" spans="1:10">
      <c r="A61" s="35" t="str">
        <f>CLEAN(TRIM(LEFT('Raw data for Day5'!A61,3)))</f>
        <v>EMP</v>
      </c>
      <c r="B61" s="38" t="str">
        <f>CLEAN(TRIM(RIGHT('Raw data for Day5'!A61,4)))</f>
        <v>1058</v>
      </c>
      <c r="C61" s="35" t="str">
        <f>CLEAN(TRIM(PROPER('Raw data for Day5'!B61)))</f>
        <v>Sam Wilson</v>
      </c>
      <c r="D61" s="37" t="str">
        <f>CLEAN(TRIM(IF('Raw data for Day5'!C61="finance",PROPER('Raw data for Day5'!C61),IF('Raw data for Day5'!C61="hr", UPPER('Raw data for Day5'!C61),IF('Raw data for Day5'!C61="it",UPPER('Raw data for Day5'!C61),IF('Raw data for Day5'!C61="sales",PROPER('Raw data for Day5'!C61),IF('Raw data for Day5'!C61="marketing",PROPER('Raw data for Day5'!C61),"Un-known")))))))</f>
        <v>Marketing</v>
      </c>
      <c r="E61" s="37" t="str">
        <f>CLEAN(TRIM(IF('Raw data for Day5'!D61="germany",PROPER('Raw data for Day5'!D61),IF('Raw data for Day5'!D61="usa",UPPER('Raw data for Day5'!D61),IF('Raw data for Day5'!D61="uk",UPPER('Raw data for Day5'!D61),IF('Raw data for Day5'!D61="india",PROPER('Raw data for Day5'!D61),'Raw data for Day5'!D61))))))</f>
        <v>Un-known</v>
      </c>
      <c r="F61" s="21">
        <f>'Raw data for Day5'!E61</f>
        <v>84924</v>
      </c>
      <c r="G61" s="22">
        <f>'Raw data for Day5'!F61</f>
        <v>42414</v>
      </c>
      <c r="H61" s="36" t="str">
        <f>CLEAN(TRIM('Raw data for Day5'!G61))</f>
        <v>5</v>
      </c>
      <c r="I61" s="35" t="str">
        <f>CLEAN(TRIM('Raw data for Day5'!H61))</f>
        <v>Male</v>
      </c>
      <c r="J61" s="35" t="str">
        <f>CLEAN(TRIM(LOWER('Raw data for Day5'!I61)))</f>
        <v>user150@example.com</v>
      </c>
    </row>
    <row r="62" spans="1:10">
      <c r="A62" s="35" t="str">
        <f>CLEAN(TRIM(LEFT('Raw data for Day5'!A62,3)))</f>
        <v>EMP</v>
      </c>
      <c r="B62" s="38" t="str">
        <f>CLEAN(TRIM(RIGHT('Raw data for Day5'!A62,4)))</f>
        <v>1059</v>
      </c>
      <c r="C62" s="35" t="str">
        <f>CLEAN(TRIM(PROPER('Raw data for Day5'!B62)))</f>
        <v>Sam Wilson</v>
      </c>
      <c r="D62" s="37" t="str">
        <f>CLEAN(TRIM(IF('Raw data for Day5'!C62="finance",PROPER('Raw data for Day5'!C62),IF('Raw data for Day5'!C62="hr", UPPER('Raw data for Day5'!C62),IF('Raw data for Day5'!C62="it",UPPER('Raw data for Day5'!C62),IF('Raw data for Day5'!C62="sales",PROPER('Raw data for Day5'!C62),IF('Raw data for Day5'!C62="marketing",PROPER('Raw data for Day5'!C62),"Un-known")))))))</f>
        <v>Finance</v>
      </c>
      <c r="E62" s="37" t="str">
        <f>CLEAN(TRIM(IF('Raw data for Day5'!D62="germany",PROPER('Raw data for Day5'!D62),IF('Raw data for Day5'!D62="usa",UPPER('Raw data for Day5'!D62),IF('Raw data for Day5'!D62="uk",UPPER('Raw data for Day5'!D62),IF('Raw data for Day5'!D62="india",PROPER('Raw data for Day5'!D62),'Raw data for Day5'!D62))))))</f>
        <v>USA</v>
      </c>
      <c r="F62" s="21">
        <f>'Raw data for Day5'!E62</f>
        <v>82033</v>
      </c>
      <c r="G62" s="22">
        <f>'Raw data for Day5'!F62</f>
        <v>42421</v>
      </c>
      <c r="H62" s="36" t="str">
        <f>CLEAN(TRIM('Raw data for Day5'!G62))</f>
        <v>1</v>
      </c>
      <c r="I62" s="35" t="str">
        <f>CLEAN(TRIM('Raw data for Day5'!H62))</f>
        <v>Un-known</v>
      </c>
      <c r="J62" s="35" t="str">
        <f>CLEAN(TRIM(LOWER('Raw data for Day5'!I62)))</f>
        <v>user20@example.com</v>
      </c>
    </row>
    <row r="63" spans="1:10">
      <c r="A63" s="35" t="str">
        <f>CLEAN(TRIM(LEFT('Raw data for Day5'!A63,3)))</f>
        <v>EMP</v>
      </c>
      <c r="B63" s="38" t="str">
        <f>CLEAN(TRIM(RIGHT('Raw data for Day5'!A63,4)))</f>
        <v>1060</v>
      </c>
      <c r="C63" s="35" t="str">
        <f>CLEAN(TRIM(PROPER('Raw data for Day5'!B63)))</f>
        <v>Un-Known</v>
      </c>
      <c r="D63" s="37" t="str">
        <f>CLEAN(TRIM(IF('Raw data for Day5'!C63="finance",PROPER('Raw data for Day5'!C63),IF('Raw data for Day5'!C63="hr", UPPER('Raw data for Day5'!C63),IF('Raw data for Day5'!C63="it",UPPER('Raw data for Day5'!C63),IF('Raw data for Day5'!C63="sales",PROPER('Raw data for Day5'!C63),IF('Raw data for Day5'!C63="marketing",PROPER('Raw data for Day5'!C63),"Un-known")))))))</f>
        <v>Marketing</v>
      </c>
      <c r="E63" s="37" t="str">
        <f>CLEAN(TRIM(IF('Raw data for Day5'!D63="germany",PROPER('Raw data for Day5'!D63),IF('Raw data for Day5'!D63="usa",UPPER('Raw data for Day5'!D63),IF('Raw data for Day5'!D63="uk",UPPER('Raw data for Day5'!D63),IF('Raw data for Day5'!D63="india",PROPER('Raw data for Day5'!D63),'Raw data for Day5'!D63))))))</f>
        <v>Germany</v>
      </c>
      <c r="F63" s="21" t="str">
        <f>'Raw data for Day5'!E63</f>
        <v>0</v>
      </c>
      <c r="G63" s="22" t="str">
        <f>'Raw data for Day5'!F63</f>
        <v>Un-known</v>
      </c>
      <c r="H63" s="36" t="str">
        <f>CLEAN(TRIM('Raw data for Day5'!G63))</f>
        <v>5</v>
      </c>
      <c r="I63" s="35" t="str">
        <f>CLEAN(TRIM('Raw data for Day5'!H63))</f>
        <v>Unknown</v>
      </c>
      <c r="J63" s="35" t="str">
        <f>CLEAN(TRIM(LOWER('Raw data for Day5'!I63)))</f>
        <v>user112@example.com</v>
      </c>
    </row>
    <row r="64" spans="1:10">
      <c r="A64" s="35" t="str">
        <f>CLEAN(TRIM(LEFT('Raw data for Day5'!A64,3)))</f>
        <v>EMP</v>
      </c>
      <c r="B64" s="38" t="str">
        <f>CLEAN(TRIM(RIGHT('Raw data for Day5'!A64,4)))</f>
        <v>1061</v>
      </c>
      <c r="C64" s="35" t="str">
        <f>CLEAN(TRIM(PROPER('Raw data for Day5'!B64)))</f>
        <v>Eve Adams</v>
      </c>
      <c r="D64" s="37" t="str">
        <f>CLEAN(TRIM(IF('Raw data for Day5'!C64="finance",PROPER('Raw data for Day5'!C64),IF('Raw data for Day5'!C64="hr", UPPER('Raw data for Day5'!C64),IF('Raw data for Day5'!C64="it",UPPER('Raw data for Day5'!C64),IF('Raw data for Day5'!C64="sales",PROPER('Raw data for Day5'!C64),IF('Raw data for Day5'!C64="marketing",PROPER('Raw data for Day5'!C64),"Un-known")))))))</f>
        <v>Un-known</v>
      </c>
      <c r="E64" s="37" t="str">
        <f>CLEAN(TRIM(IF('Raw data for Day5'!D64="germany",PROPER('Raw data for Day5'!D64),IF('Raw data for Day5'!D64="usa",UPPER('Raw data for Day5'!D64),IF('Raw data for Day5'!D64="uk",UPPER('Raw data for Day5'!D64),IF('Raw data for Day5'!D64="india",PROPER('Raw data for Day5'!D64),'Raw data for Day5'!D64))))))</f>
        <v>Australia</v>
      </c>
      <c r="F64" s="21">
        <f>'Raw data for Day5'!E64</f>
        <v>31499</v>
      </c>
      <c r="G64" s="22">
        <f>'Raw data for Day5'!F64</f>
        <v>42435</v>
      </c>
      <c r="H64" s="36" t="str">
        <f>CLEAN(TRIM('Raw data for Day5'!G64))</f>
        <v>2</v>
      </c>
      <c r="I64" s="35" t="str">
        <f>CLEAN(TRIM('Raw data for Day5'!H64))</f>
        <v>Un-known</v>
      </c>
      <c r="J64" s="35" t="str">
        <f>CLEAN(TRIM(LOWER('Raw data for Day5'!I64)))</f>
        <v>user31@example.com</v>
      </c>
    </row>
    <row r="65" spans="1:10">
      <c r="A65" s="35" t="str">
        <f>CLEAN(TRIM(LEFT('Raw data for Day5'!A65,3)))</f>
        <v>EMP</v>
      </c>
      <c r="B65" s="38" t="str">
        <f>CLEAN(TRIM(RIGHT('Raw data for Day5'!A65,4)))</f>
        <v>1062</v>
      </c>
      <c r="C65" s="35" t="str">
        <f>CLEAN(TRIM(PROPER('Raw data for Day5'!B65)))</f>
        <v>Chris Lee</v>
      </c>
      <c r="D65" s="37" t="str">
        <f>CLEAN(TRIM(IF('Raw data for Day5'!C65="finance",PROPER('Raw data for Day5'!C65),IF('Raw data for Day5'!C65="hr", UPPER('Raw data for Day5'!C65),IF('Raw data for Day5'!C65="it",UPPER('Raw data for Day5'!C65),IF('Raw data for Day5'!C65="sales",PROPER('Raw data for Day5'!C65),IF('Raw data for Day5'!C65="marketing",PROPER('Raw data for Day5'!C65),"Un-known")))))))</f>
        <v>IT</v>
      </c>
      <c r="E65" s="37" t="str">
        <f>CLEAN(TRIM(IF('Raw data for Day5'!D65="germany",PROPER('Raw data for Day5'!D65),IF('Raw data for Day5'!D65="usa",UPPER('Raw data for Day5'!D65),IF('Raw data for Day5'!D65="uk",UPPER('Raw data for Day5'!D65),IF('Raw data for Day5'!D65="india",PROPER('Raw data for Day5'!D65),'Raw data for Day5'!D65))))))</f>
        <v>UK</v>
      </c>
      <c r="F65" s="21">
        <f>'Raw data for Day5'!E65</f>
        <v>97981</v>
      </c>
      <c r="G65" s="22">
        <f>'Raw data for Day5'!F65</f>
        <v>42442</v>
      </c>
      <c r="H65" s="36" t="str">
        <f>CLEAN(TRIM('Raw data for Day5'!G65))</f>
        <v>5</v>
      </c>
      <c r="I65" s="35" t="str">
        <f>CLEAN(TRIM('Raw data for Day5'!H65))</f>
        <v>Female</v>
      </c>
      <c r="J65" s="35" t="str">
        <f>CLEAN(TRIM(LOWER('Raw data for Day5'!I65)))</f>
        <v>user71@example.com</v>
      </c>
    </row>
    <row r="66" spans="1:10">
      <c r="A66" s="35" t="str">
        <f>CLEAN(TRIM(LEFT('Raw data for Day5'!A66,3)))</f>
        <v>EMP</v>
      </c>
      <c r="B66" s="38" t="str">
        <f>CLEAN(TRIM(RIGHT('Raw data for Day5'!A66,4)))</f>
        <v>1063</v>
      </c>
      <c r="C66" s="35" t="str">
        <f>CLEAN(TRIM(PROPER('Raw data for Day5'!B66)))</f>
        <v>Eve Adams</v>
      </c>
      <c r="D66" s="37" t="str">
        <f>CLEAN(TRIM(IF('Raw data for Day5'!C66="finance",PROPER('Raw data for Day5'!C66),IF('Raw data for Day5'!C66="hr", UPPER('Raw data for Day5'!C66),IF('Raw data for Day5'!C66="it",UPPER('Raw data for Day5'!C66),IF('Raw data for Day5'!C66="sales",PROPER('Raw data for Day5'!C66),IF('Raw data for Day5'!C66="marketing",PROPER('Raw data for Day5'!C66),"Un-known")))))))</f>
        <v>HR</v>
      </c>
      <c r="E66" s="37" t="str">
        <f>CLEAN(TRIM(IF('Raw data for Day5'!D66="germany",PROPER('Raw data for Day5'!D66),IF('Raw data for Day5'!D66="usa",UPPER('Raw data for Day5'!D66),IF('Raw data for Day5'!D66="uk",UPPER('Raw data for Day5'!D66),IF('Raw data for Day5'!D66="india",PROPER('Raw data for Day5'!D66),'Raw data for Day5'!D66))))))</f>
        <v>USA</v>
      </c>
      <c r="F66" s="21">
        <f>'Raw data for Day5'!E66</f>
        <v>36541</v>
      </c>
      <c r="G66" s="22">
        <f>'Raw data for Day5'!F66</f>
        <v>42449</v>
      </c>
      <c r="H66" s="36" t="str">
        <f>CLEAN(TRIM('Raw data for Day5'!G66))</f>
        <v>2</v>
      </c>
      <c r="I66" s="35" t="str">
        <f>CLEAN(TRIM('Raw data for Day5'!H66))</f>
        <v>Other</v>
      </c>
      <c r="J66" s="35" t="str">
        <f>CLEAN(TRIM(LOWER('Raw data for Day5'!I66)))</f>
        <v>user97@example.com</v>
      </c>
    </row>
    <row r="67" spans="1:10">
      <c r="A67" s="35" t="str">
        <f>CLEAN(TRIM(LEFT('Raw data for Day5'!A67,3)))</f>
        <v>EMP</v>
      </c>
      <c r="B67" s="38" t="str">
        <f>CLEAN(TRIM(RIGHT('Raw data for Day5'!A67,4)))</f>
        <v>1064</v>
      </c>
      <c r="C67" s="35" t="str">
        <f>CLEAN(TRIM(PROPER('Raw data for Day5'!B67)))</f>
        <v>John Doe</v>
      </c>
      <c r="D67" s="37" t="str">
        <f>CLEAN(TRIM(IF('Raw data for Day5'!C67="finance",PROPER('Raw data for Day5'!C67),IF('Raw data for Day5'!C67="hr", UPPER('Raw data for Day5'!C67),IF('Raw data for Day5'!C67="it",UPPER('Raw data for Day5'!C67),IF('Raw data for Day5'!C67="sales",PROPER('Raw data for Day5'!C67),IF('Raw data for Day5'!C67="marketing",PROPER('Raw data for Day5'!C67),"Un-known")))))))</f>
        <v>IT</v>
      </c>
      <c r="E67" s="37" t="str">
        <f>CLEAN(TRIM(IF('Raw data for Day5'!D67="germany",PROPER('Raw data for Day5'!D67),IF('Raw data for Day5'!D67="usa",UPPER('Raw data for Day5'!D67),IF('Raw data for Day5'!D67="uk",UPPER('Raw data for Day5'!D67),IF('Raw data for Day5'!D67="india",PROPER('Raw data for Day5'!D67),'Raw data for Day5'!D67))))))</f>
        <v>India</v>
      </c>
      <c r="F67" s="21">
        <f>'Raw data for Day5'!E67</f>
        <v>84737</v>
      </c>
      <c r="G67" s="22">
        <f>'Raw data for Day5'!F67</f>
        <v>42456</v>
      </c>
      <c r="H67" s="36" t="str">
        <f>CLEAN(TRIM('Raw data for Day5'!G67))</f>
        <v>1</v>
      </c>
      <c r="I67" s="35" t="str">
        <f>CLEAN(TRIM('Raw data for Day5'!H67))</f>
        <v>Male</v>
      </c>
      <c r="J67" s="35" t="str">
        <f>CLEAN(TRIM(LOWER('Raw data for Day5'!I67)))</f>
        <v>user141@example.com</v>
      </c>
    </row>
    <row r="68" spans="1:10">
      <c r="A68" s="35" t="str">
        <f>CLEAN(TRIM(LEFT('Raw data for Day5'!A68,3)))</f>
        <v>EMP</v>
      </c>
      <c r="B68" s="38" t="str">
        <f>CLEAN(TRIM(RIGHT('Raw data for Day5'!A68,4)))</f>
        <v>1065</v>
      </c>
      <c r="C68" s="35" t="str">
        <f>CLEAN(TRIM(PROPER('Raw data for Day5'!B68)))</f>
        <v>Sam Wilson</v>
      </c>
      <c r="D68" s="37" t="str">
        <f>CLEAN(TRIM(IF('Raw data for Day5'!C68="finance",PROPER('Raw data for Day5'!C68),IF('Raw data for Day5'!C68="hr", UPPER('Raw data for Day5'!C68),IF('Raw data for Day5'!C68="it",UPPER('Raw data for Day5'!C68),IF('Raw data for Day5'!C68="sales",PROPER('Raw data for Day5'!C68),IF('Raw data for Day5'!C68="marketing",PROPER('Raw data for Day5'!C68),"Un-known")))))))</f>
        <v>Finance</v>
      </c>
      <c r="E68" s="37" t="str">
        <f>CLEAN(TRIM(IF('Raw data for Day5'!D68="germany",PROPER('Raw data for Day5'!D68),IF('Raw data for Day5'!D68="usa",UPPER('Raw data for Day5'!D68),IF('Raw data for Day5'!D68="uk",UPPER('Raw data for Day5'!D68),IF('Raw data for Day5'!D68="india",PROPER('Raw data for Day5'!D68),'Raw data for Day5'!D68))))))</f>
        <v>India</v>
      </c>
      <c r="F68" s="21">
        <f>'Raw data for Day5'!E68</f>
        <v>33468</v>
      </c>
      <c r="G68" s="22">
        <f>'Raw data for Day5'!F68</f>
        <v>42463</v>
      </c>
      <c r="H68" s="36" t="str">
        <f>CLEAN(TRIM('Raw data for Day5'!G68))</f>
        <v>4</v>
      </c>
      <c r="I68" s="35" t="str">
        <f>CLEAN(TRIM('Raw data for Day5'!H68))</f>
        <v>Male</v>
      </c>
      <c r="J68" s="35" t="str">
        <f>CLEAN(TRIM(LOWER('Raw data for Day5'!I68)))</f>
        <v>user125@example.com</v>
      </c>
    </row>
    <row r="69" spans="1:10">
      <c r="A69" s="35" t="str">
        <f>CLEAN(TRIM(LEFT('Raw data for Day5'!A69,3)))</f>
        <v>EMP</v>
      </c>
      <c r="B69" s="38" t="str">
        <f>CLEAN(TRIM(RIGHT('Raw data for Day5'!A69,4)))</f>
        <v>1066</v>
      </c>
      <c r="C69" s="35" t="str">
        <f>CLEAN(TRIM(PROPER('Raw data for Day5'!B69)))</f>
        <v>Sam Wilson</v>
      </c>
      <c r="D69" s="37" t="str">
        <f>CLEAN(TRIM(IF('Raw data for Day5'!C69="finance",PROPER('Raw data for Day5'!C69),IF('Raw data for Day5'!C69="hr", UPPER('Raw data for Day5'!C69),IF('Raw data for Day5'!C69="it",UPPER('Raw data for Day5'!C69),IF('Raw data for Day5'!C69="sales",PROPER('Raw data for Day5'!C69),IF('Raw data for Day5'!C69="marketing",PROPER('Raw data for Day5'!C69),"Un-known")))))))</f>
        <v>Un-known</v>
      </c>
      <c r="E69" s="37" t="str">
        <f>CLEAN(TRIM(IF('Raw data for Day5'!D69="germany",PROPER('Raw data for Day5'!D69),IF('Raw data for Day5'!D69="usa",UPPER('Raw data for Day5'!D69),IF('Raw data for Day5'!D69="uk",UPPER('Raw data for Day5'!D69),IF('Raw data for Day5'!D69="india",PROPER('Raw data for Day5'!D69),'Raw data for Day5'!D69))))))</f>
        <v>Australia</v>
      </c>
      <c r="F69" s="21">
        <f>'Raw data for Day5'!E69</f>
        <v>96365</v>
      </c>
      <c r="G69" s="22">
        <f>'Raw data for Day5'!F69</f>
        <v>42470</v>
      </c>
      <c r="H69" s="36" t="str">
        <f>CLEAN(TRIM('Raw data for Day5'!G69))</f>
        <v>3</v>
      </c>
      <c r="I69" s="35" t="str">
        <f>CLEAN(TRIM('Raw data for Day5'!H69))</f>
        <v>Other</v>
      </c>
      <c r="J69" s="35" t="str">
        <f>CLEAN(TRIM(LOWER('Raw data for Day5'!I69)))</f>
        <v>user90@example.com</v>
      </c>
    </row>
    <row r="70" spans="1:10">
      <c r="A70" s="35" t="str">
        <f>CLEAN(TRIM(LEFT('Raw data for Day5'!A70,3)))</f>
        <v>EMP</v>
      </c>
      <c r="B70" s="38" t="str">
        <f>CLEAN(TRIM(RIGHT('Raw data for Day5'!A70,4)))</f>
        <v>1067</v>
      </c>
      <c r="C70" s="35" t="str">
        <f>CLEAN(TRIM(PROPER('Raw data for Day5'!B70)))</f>
        <v>Alice Brown</v>
      </c>
      <c r="D70" s="37" t="str">
        <f>CLEAN(TRIM(IF('Raw data for Day5'!C70="finance",PROPER('Raw data for Day5'!C70),IF('Raw data for Day5'!C70="hr", UPPER('Raw data for Day5'!C70),IF('Raw data for Day5'!C70="it",UPPER('Raw data for Day5'!C70),IF('Raw data for Day5'!C70="sales",PROPER('Raw data for Day5'!C70),IF('Raw data for Day5'!C70="marketing",PROPER('Raw data for Day5'!C70),"Un-known")))))))</f>
        <v>Sales</v>
      </c>
      <c r="E70" s="37" t="str">
        <f>CLEAN(TRIM(IF('Raw data for Day5'!D70="germany",PROPER('Raw data for Day5'!D70),IF('Raw data for Day5'!D70="usa",UPPER('Raw data for Day5'!D70),IF('Raw data for Day5'!D70="uk",UPPER('Raw data for Day5'!D70),IF('Raw data for Day5'!D70="india",PROPER('Raw data for Day5'!D70),'Raw data for Day5'!D70))))))</f>
        <v>India</v>
      </c>
      <c r="F70" s="21">
        <f>'Raw data for Day5'!E70</f>
        <v>61942</v>
      </c>
      <c r="G70" s="22">
        <f>'Raw data for Day5'!F70</f>
        <v>42477</v>
      </c>
      <c r="H70" s="36" t="str">
        <f>CLEAN(TRIM('Raw data for Day5'!G70))</f>
        <v>3</v>
      </c>
      <c r="I70" s="35" t="str">
        <f>CLEAN(TRIM('Raw data for Day5'!H70))</f>
        <v>Female</v>
      </c>
      <c r="J70" s="35" t="str">
        <f>CLEAN(TRIM(LOWER('Raw data for Day5'!I70)))</f>
        <v>user192@example.com</v>
      </c>
    </row>
    <row r="71" spans="1:10">
      <c r="A71" s="35" t="str">
        <f>CLEAN(TRIM(LEFT('Raw data for Day5'!A71,3)))</f>
        <v>EMP</v>
      </c>
      <c r="B71" s="38" t="str">
        <f>CLEAN(TRIM(RIGHT('Raw data for Day5'!A71,4)))</f>
        <v>1068</v>
      </c>
      <c r="C71" s="35" t="str">
        <f>CLEAN(TRIM(PROPER('Raw data for Day5'!B71)))</f>
        <v>Sam Wilson</v>
      </c>
      <c r="D71" s="37" t="str">
        <f>CLEAN(TRIM(IF('Raw data for Day5'!C71="finance",PROPER('Raw data for Day5'!C71),IF('Raw data for Day5'!C71="hr", UPPER('Raw data for Day5'!C71),IF('Raw data for Day5'!C71="it",UPPER('Raw data for Day5'!C71),IF('Raw data for Day5'!C71="sales",PROPER('Raw data for Day5'!C71),IF('Raw data for Day5'!C71="marketing",PROPER('Raw data for Day5'!C71),"Un-known")))))))</f>
        <v>Finance</v>
      </c>
      <c r="E71" s="37" t="str">
        <f>CLEAN(TRIM(IF('Raw data for Day5'!D71="germany",PROPER('Raw data for Day5'!D71),IF('Raw data for Day5'!D71="usa",UPPER('Raw data for Day5'!D71),IF('Raw data for Day5'!D71="uk",UPPER('Raw data for Day5'!D71),IF('Raw data for Day5'!D71="india",PROPER('Raw data for Day5'!D71),'Raw data for Day5'!D71))))))</f>
        <v>UK</v>
      </c>
      <c r="F71" s="21">
        <f>'Raw data for Day5'!E71</f>
        <v>41467</v>
      </c>
      <c r="G71" s="22">
        <f>'Raw data for Day5'!F71</f>
        <v>42484</v>
      </c>
      <c r="H71" s="36" t="str">
        <f>CLEAN(TRIM('Raw data for Day5'!G71))</f>
        <v>2</v>
      </c>
      <c r="I71" s="35" t="str">
        <f>CLEAN(TRIM('Raw data for Day5'!H71))</f>
        <v>Un-known</v>
      </c>
      <c r="J71" s="35" t="str">
        <f>CLEAN(TRIM(LOWER('Raw data for Day5'!I71)))</f>
        <v>user77@example.com</v>
      </c>
    </row>
    <row r="72" spans="1:10">
      <c r="A72" s="35" t="str">
        <f>CLEAN(TRIM(LEFT('Raw data for Day5'!A72,3)))</f>
        <v>EMP</v>
      </c>
      <c r="B72" s="38" t="str">
        <f>CLEAN(TRIM(RIGHT('Raw data for Day5'!A72,4)))</f>
        <v>1069</v>
      </c>
      <c r="C72" s="35" t="str">
        <f>CLEAN(TRIM(PROPER('Raw data for Day5'!B72)))</f>
        <v>Bob Johnson</v>
      </c>
      <c r="D72" s="37" t="str">
        <f>CLEAN(TRIM(IF('Raw data for Day5'!C72="finance",PROPER('Raw data for Day5'!C72),IF('Raw data for Day5'!C72="hr", UPPER('Raw data for Day5'!C72),IF('Raw data for Day5'!C72="it",UPPER('Raw data for Day5'!C72),IF('Raw data for Day5'!C72="sales",PROPER('Raw data for Day5'!C72),IF('Raw data for Day5'!C72="marketing",PROPER('Raw data for Day5'!C72),"Un-known")))))))</f>
        <v>Finance</v>
      </c>
      <c r="E72" s="37" t="str">
        <f>CLEAN(TRIM(IF('Raw data for Day5'!D72="germany",PROPER('Raw data for Day5'!D72),IF('Raw data for Day5'!D72="usa",UPPER('Raw data for Day5'!D72),IF('Raw data for Day5'!D72="uk",UPPER('Raw data for Day5'!D72),IF('Raw data for Day5'!D72="india",PROPER('Raw data for Day5'!D72),'Raw data for Day5'!D72))))))</f>
        <v>India</v>
      </c>
      <c r="F72" s="21">
        <f>'Raw data for Day5'!E72</f>
        <v>77096</v>
      </c>
      <c r="G72" s="22">
        <f>'Raw data for Day5'!F72</f>
        <v>42491</v>
      </c>
      <c r="H72" s="36" t="str">
        <f>CLEAN(TRIM('Raw data for Day5'!G72))</f>
        <v>1</v>
      </c>
      <c r="I72" s="35" t="str">
        <f>CLEAN(TRIM('Raw data for Day5'!H72))</f>
        <v>Un-known</v>
      </c>
      <c r="J72" s="35" t="str">
        <f>CLEAN(TRIM(LOWER('Raw data for Day5'!I72)))</f>
        <v>user65@example.com</v>
      </c>
    </row>
    <row r="73" spans="1:10">
      <c r="A73" s="35" t="str">
        <f>CLEAN(TRIM(LEFT('Raw data for Day5'!A73,3)))</f>
        <v>EMP</v>
      </c>
      <c r="B73" s="38" t="str">
        <f>CLEAN(TRIM(RIGHT('Raw data for Day5'!A73,4)))</f>
        <v>1070</v>
      </c>
      <c r="C73" s="35" t="str">
        <f>CLEAN(TRIM(PROPER('Raw data for Day5'!B73)))</f>
        <v>Eve Adams</v>
      </c>
      <c r="D73" s="37" t="str">
        <f>CLEAN(TRIM(IF('Raw data for Day5'!C73="finance",PROPER('Raw data for Day5'!C73),IF('Raw data for Day5'!C73="hr", UPPER('Raw data for Day5'!C73),IF('Raw data for Day5'!C73="it",UPPER('Raw data for Day5'!C73),IF('Raw data for Day5'!C73="sales",PROPER('Raw data for Day5'!C73),IF('Raw data for Day5'!C73="marketing",PROPER('Raw data for Day5'!C73),"Un-known")))))))</f>
        <v>Sales</v>
      </c>
      <c r="E73" s="37" t="str">
        <f>CLEAN(TRIM(IF('Raw data for Day5'!D73="germany",PROPER('Raw data for Day5'!D73),IF('Raw data for Day5'!D73="usa",UPPER('Raw data for Day5'!D73),IF('Raw data for Day5'!D73="uk",UPPER('Raw data for Day5'!D73),IF('Raw data for Day5'!D73="india",PROPER('Raw data for Day5'!D73),'Raw data for Day5'!D73))))))</f>
        <v>Australia</v>
      </c>
      <c r="F73" s="21">
        <f>'Raw data for Day5'!E73</f>
        <v>69952</v>
      </c>
      <c r="G73" s="22">
        <f>'Raw data for Day5'!F73</f>
        <v>42498</v>
      </c>
      <c r="H73" s="36" t="str">
        <f>CLEAN(TRIM('Raw data for Day5'!G73))</f>
        <v>5</v>
      </c>
      <c r="I73" s="35" t="str">
        <f>CLEAN(TRIM('Raw data for Day5'!H73))</f>
        <v>Female</v>
      </c>
      <c r="J73" s="35" t="str">
        <f>CLEAN(TRIM(LOWER('Raw data for Day5'!I73)))</f>
        <v>invalid_email</v>
      </c>
    </row>
    <row r="74" spans="1:10">
      <c r="A74" s="35" t="str">
        <f>CLEAN(TRIM(LEFT('Raw data for Day5'!A74,3)))</f>
        <v>EMP</v>
      </c>
      <c r="B74" s="38" t="str">
        <f>CLEAN(TRIM(RIGHT('Raw data for Day5'!A74,4)))</f>
        <v>1071</v>
      </c>
      <c r="C74" s="35" t="str">
        <f>CLEAN(TRIM(PROPER('Raw data for Day5'!B74)))</f>
        <v>Eve Adams</v>
      </c>
      <c r="D74" s="37" t="str">
        <f>CLEAN(TRIM(IF('Raw data for Day5'!C74="finance",PROPER('Raw data for Day5'!C74),IF('Raw data for Day5'!C74="hr", UPPER('Raw data for Day5'!C74),IF('Raw data for Day5'!C74="it",UPPER('Raw data for Day5'!C74),IF('Raw data for Day5'!C74="sales",PROPER('Raw data for Day5'!C74),IF('Raw data for Day5'!C74="marketing",PROPER('Raw data for Day5'!C74),"Un-known")))))))</f>
        <v>Marketing</v>
      </c>
      <c r="E74" s="37" t="str">
        <f>CLEAN(TRIM(IF('Raw data for Day5'!D74="germany",PROPER('Raw data for Day5'!D74),IF('Raw data for Day5'!D74="usa",UPPER('Raw data for Day5'!D74),IF('Raw data for Day5'!D74="uk",UPPER('Raw data for Day5'!D74),IF('Raw data for Day5'!D74="india",PROPER('Raw data for Day5'!D74),'Raw data for Day5'!D74))))))</f>
        <v>USA</v>
      </c>
      <c r="F74" s="21">
        <f>'Raw data for Day5'!E74</f>
        <v>85065</v>
      </c>
      <c r="G74" s="22">
        <f>'Raw data for Day5'!F74</f>
        <v>42505</v>
      </c>
      <c r="H74" s="36" t="str">
        <f>CLEAN(TRIM('Raw data for Day5'!G74))</f>
        <v>3</v>
      </c>
      <c r="I74" s="35" t="str">
        <f>CLEAN(TRIM('Raw data for Day5'!H74))</f>
        <v>Un-known</v>
      </c>
      <c r="J74" s="35" t="str">
        <f>CLEAN(TRIM(LOWER('Raw data for Day5'!I74)))</f>
        <v>user142@example.com</v>
      </c>
    </row>
    <row r="75" spans="1:10">
      <c r="A75" s="35" t="str">
        <f>CLEAN(TRIM(LEFT('Raw data for Day5'!A75,3)))</f>
        <v>EMP</v>
      </c>
      <c r="B75" s="38" t="str">
        <f>CLEAN(TRIM(RIGHT('Raw data for Day5'!A75,4)))</f>
        <v>1072</v>
      </c>
      <c r="C75" s="35" t="str">
        <f>CLEAN(TRIM(PROPER('Raw data for Day5'!B75)))</f>
        <v>Bob Johnson</v>
      </c>
      <c r="D75" s="37" t="str">
        <f>CLEAN(TRIM(IF('Raw data for Day5'!C75="finance",PROPER('Raw data for Day5'!C75),IF('Raw data for Day5'!C75="hr", UPPER('Raw data for Day5'!C75),IF('Raw data for Day5'!C75="it",UPPER('Raw data for Day5'!C75),IF('Raw data for Day5'!C75="sales",PROPER('Raw data for Day5'!C75),IF('Raw data for Day5'!C75="marketing",PROPER('Raw data for Day5'!C75),"Un-known")))))))</f>
        <v>Marketing</v>
      </c>
      <c r="E75" s="37" t="str">
        <f>CLEAN(TRIM(IF('Raw data for Day5'!D75="germany",PROPER('Raw data for Day5'!D75),IF('Raw data for Day5'!D75="usa",UPPER('Raw data for Day5'!D75),IF('Raw data for Day5'!D75="uk",UPPER('Raw data for Day5'!D75),IF('Raw data for Day5'!D75="india",PROPER('Raw data for Day5'!D75),'Raw data for Day5'!D75))))))</f>
        <v>India</v>
      </c>
      <c r="F75" s="21">
        <f>'Raw data for Day5'!E75</f>
        <v>56512</v>
      </c>
      <c r="G75" s="22">
        <f>'Raw data for Day5'!F75</f>
        <v>42512</v>
      </c>
      <c r="H75" s="36" t="str">
        <f>CLEAN(TRIM('Raw data for Day5'!G75))</f>
        <v>N/A</v>
      </c>
      <c r="I75" s="35" t="str">
        <f>CLEAN(TRIM('Raw data for Day5'!H75))</f>
        <v>Other</v>
      </c>
      <c r="J75" s="35" t="str">
        <f>CLEAN(TRIM(LOWER('Raw data for Day5'!I75)))</f>
        <v>user153@example.com</v>
      </c>
    </row>
    <row r="76" spans="1:10">
      <c r="A76" s="35" t="str">
        <f>CLEAN(TRIM(LEFT('Raw data for Day5'!A76,3)))</f>
        <v>EMP</v>
      </c>
      <c r="B76" s="38" t="str">
        <f>CLEAN(TRIM(RIGHT('Raw data for Day5'!A76,4)))</f>
        <v>1073</v>
      </c>
      <c r="C76" s="35" t="str">
        <f>CLEAN(TRIM(PROPER('Raw data for Day5'!B76)))</f>
        <v>John Doe</v>
      </c>
      <c r="D76" s="37" t="str">
        <f>CLEAN(TRIM(IF('Raw data for Day5'!C76="finance",PROPER('Raw data for Day5'!C76),IF('Raw data for Day5'!C76="hr", UPPER('Raw data for Day5'!C76),IF('Raw data for Day5'!C76="it",UPPER('Raw data for Day5'!C76),IF('Raw data for Day5'!C76="sales",PROPER('Raw data for Day5'!C76),IF('Raw data for Day5'!C76="marketing",PROPER('Raw data for Day5'!C76),"Un-known")))))))</f>
        <v>Sales</v>
      </c>
      <c r="E76" s="37" t="str">
        <f>CLEAN(TRIM(IF('Raw data for Day5'!D76="germany",PROPER('Raw data for Day5'!D76),IF('Raw data for Day5'!D76="usa",UPPER('Raw data for Day5'!D76),IF('Raw data for Day5'!D76="uk",UPPER('Raw data for Day5'!D76),IF('Raw data for Day5'!D76="india",PROPER('Raw data for Day5'!D76),'Raw data for Day5'!D76))))))</f>
        <v>India</v>
      </c>
      <c r="F76" s="21">
        <f>'Raw data for Day5'!E76</f>
        <v>91101</v>
      </c>
      <c r="G76" s="22">
        <f>'Raw data for Day5'!F76</f>
        <v>42519</v>
      </c>
      <c r="H76" s="36" t="str">
        <f>CLEAN(TRIM('Raw data for Day5'!G76))</f>
        <v>4</v>
      </c>
      <c r="I76" s="35" t="str">
        <f>CLEAN(TRIM('Raw data for Day5'!H76))</f>
        <v>Female</v>
      </c>
      <c r="J76" s="35" t="str">
        <f>CLEAN(TRIM(LOWER('Raw data for Day5'!I76)))</f>
        <v>user71@example.com</v>
      </c>
    </row>
    <row r="77" spans="1:10">
      <c r="A77" s="35" t="str">
        <f>CLEAN(TRIM(LEFT('Raw data for Day5'!A77,3)))</f>
        <v>EMP</v>
      </c>
      <c r="B77" s="38" t="str">
        <f>CLEAN(TRIM(RIGHT('Raw data for Day5'!A77,4)))</f>
        <v>1074</v>
      </c>
      <c r="C77" s="35" t="str">
        <f>CLEAN(TRIM(PROPER('Raw data for Day5'!B77)))</f>
        <v>Sam Wilson</v>
      </c>
      <c r="D77" s="37" t="str">
        <f>CLEAN(TRIM(IF('Raw data for Day5'!C77="finance",PROPER('Raw data for Day5'!C77),IF('Raw data for Day5'!C77="hr", UPPER('Raw data for Day5'!C77),IF('Raw data for Day5'!C77="it",UPPER('Raw data for Day5'!C77),IF('Raw data for Day5'!C77="sales",PROPER('Raw data for Day5'!C77),IF('Raw data for Day5'!C77="marketing",PROPER('Raw data for Day5'!C77),"Un-known")))))))</f>
        <v>Un-known</v>
      </c>
      <c r="E77" s="37" t="str">
        <f>CLEAN(TRIM(IF('Raw data for Day5'!D77="germany",PROPER('Raw data for Day5'!D77),IF('Raw data for Day5'!D77="usa",UPPER('Raw data for Day5'!D77),IF('Raw data for Day5'!D77="uk",UPPER('Raw data for Day5'!D77),IF('Raw data for Day5'!D77="india",PROPER('Raw data for Day5'!D77),'Raw data for Day5'!D77))))))</f>
        <v>Germany</v>
      </c>
      <c r="F77" s="21">
        <f>'Raw data for Day5'!E77</f>
        <v>41243</v>
      </c>
      <c r="G77" s="22">
        <f>'Raw data for Day5'!F77</f>
        <v>42526</v>
      </c>
      <c r="H77" s="36" t="str">
        <f>CLEAN(TRIM('Raw data for Day5'!G77))</f>
        <v>N/A</v>
      </c>
      <c r="I77" s="35" t="str">
        <f>CLEAN(TRIM('Raw data for Day5'!H77))</f>
        <v>Un-known</v>
      </c>
      <c r="J77" s="35" t="str">
        <f>CLEAN(TRIM(LOWER('Raw data for Day5'!I77)))</f>
        <v>user143@example.com</v>
      </c>
    </row>
    <row r="78" spans="1:10">
      <c r="A78" s="35" t="str">
        <f>CLEAN(TRIM(LEFT('Raw data for Day5'!A78,3)))</f>
        <v>EMP</v>
      </c>
      <c r="B78" s="38" t="str">
        <f>CLEAN(TRIM(RIGHT('Raw data for Day5'!A78,4)))</f>
        <v>1075</v>
      </c>
      <c r="C78" s="35" t="str">
        <f>CLEAN(TRIM(PROPER('Raw data for Day5'!B78)))</f>
        <v>Un-Known</v>
      </c>
      <c r="D78" s="37" t="str">
        <f>CLEAN(TRIM(IF('Raw data for Day5'!C78="finance",PROPER('Raw data for Day5'!C78),IF('Raw data for Day5'!C78="hr", UPPER('Raw data for Day5'!C78),IF('Raw data for Day5'!C78="it",UPPER('Raw data for Day5'!C78),IF('Raw data for Day5'!C78="sales",PROPER('Raw data for Day5'!C78),IF('Raw data for Day5'!C78="marketing",PROPER('Raw data for Day5'!C78),"Un-known")))))))</f>
        <v>Sales</v>
      </c>
      <c r="E78" s="37" t="str">
        <f>CLEAN(TRIM(IF('Raw data for Day5'!D78="germany",PROPER('Raw data for Day5'!D78),IF('Raw data for Day5'!D78="usa",UPPER('Raw data for Day5'!D78),IF('Raw data for Day5'!D78="uk",UPPER('Raw data for Day5'!D78),IF('Raw data for Day5'!D78="india",PROPER('Raw data for Day5'!D78),'Raw data for Day5'!D78))))))</f>
        <v>Un-known</v>
      </c>
      <c r="F78" s="21">
        <f>'Raw data for Day5'!E78</f>
        <v>96142</v>
      </c>
      <c r="G78" s="22">
        <f>'Raw data for Day5'!F78</f>
        <v>42533</v>
      </c>
      <c r="H78" s="36" t="str">
        <f>CLEAN(TRIM('Raw data for Day5'!G78))</f>
        <v>1</v>
      </c>
      <c r="I78" s="35" t="str">
        <f>CLEAN(TRIM('Raw data for Day5'!H78))</f>
        <v>Other</v>
      </c>
      <c r="J78" s="35" t="str">
        <f>CLEAN(TRIM(LOWER('Raw data for Day5'!I78)))</f>
        <v>user17@example.com</v>
      </c>
    </row>
    <row r="79" spans="1:10">
      <c r="A79" s="35" t="str">
        <f>CLEAN(TRIM(LEFT('Raw data for Day5'!A79,3)))</f>
        <v>EMP</v>
      </c>
      <c r="B79" s="38" t="str">
        <f>CLEAN(TRIM(RIGHT('Raw data for Day5'!A79,4)))</f>
        <v>1076</v>
      </c>
      <c r="C79" s="35" t="str">
        <f>CLEAN(TRIM(PROPER('Raw data for Day5'!B79)))</f>
        <v>Eve Adams</v>
      </c>
      <c r="D79" s="37" t="str">
        <f>CLEAN(TRIM(IF('Raw data for Day5'!C79="finance",PROPER('Raw data for Day5'!C79),IF('Raw data for Day5'!C79="hr", UPPER('Raw data for Day5'!C79),IF('Raw data for Day5'!C79="it",UPPER('Raw data for Day5'!C79),IF('Raw data for Day5'!C79="sales",PROPER('Raw data for Day5'!C79),IF('Raw data for Day5'!C79="marketing",PROPER('Raw data for Day5'!C79),"Un-known")))))))</f>
        <v>IT</v>
      </c>
      <c r="E79" s="37" t="str">
        <f>CLEAN(TRIM(IF('Raw data for Day5'!D79="germany",PROPER('Raw data for Day5'!D79),IF('Raw data for Day5'!D79="usa",UPPER('Raw data for Day5'!D79),IF('Raw data for Day5'!D79="uk",UPPER('Raw data for Day5'!D79),IF('Raw data for Day5'!D79="india",PROPER('Raw data for Day5'!D79),'Raw data for Day5'!D79))))))</f>
        <v>India</v>
      </c>
      <c r="F79" s="21">
        <f>'Raw data for Day5'!E79</f>
        <v>94301</v>
      </c>
      <c r="G79" s="22">
        <f>'Raw data for Day5'!F79</f>
        <v>42540</v>
      </c>
      <c r="H79" s="36" t="str">
        <f>CLEAN(TRIM('Raw data for Day5'!G79))</f>
        <v>1</v>
      </c>
      <c r="I79" s="35" t="str">
        <f>CLEAN(TRIM('Raw data for Day5'!H79))</f>
        <v>Male</v>
      </c>
      <c r="J79" s="35" t="str">
        <f>CLEAN(TRIM(LOWER('Raw data for Day5'!I79)))</f>
        <v>user20@example.com</v>
      </c>
    </row>
    <row r="80" spans="1:10">
      <c r="A80" s="35" t="str">
        <f>CLEAN(TRIM(LEFT('Raw data for Day5'!A80,3)))</f>
        <v>EMP</v>
      </c>
      <c r="B80" s="38" t="str">
        <f>CLEAN(TRIM(RIGHT('Raw data for Day5'!A80,4)))</f>
        <v>1077</v>
      </c>
      <c r="C80" s="35" t="str">
        <f>CLEAN(TRIM(PROPER('Raw data for Day5'!B80)))</f>
        <v>Jane Smith</v>
      </c>
      <c r="D80" s="37" t="str">
        <f>CLEAN(TRIM(IF('Raw data for Day5'!C80="finance",PROPER('Raw data for Day5'!C80),IF('Raw data for Day5'!C80="hr", UPPER('Raw data for Day5'!C80),IF('Raw data for Day5'!C80="it",UPPER('Raw data for Day5'!C80),IF('Raw data for Day5'!C80="sales",PROPER('Raw data for Day5'!C80),IF('Raw data for Day5'!C80="marketing",PROPER('Raw data for Day5'!C80),"Un-known")))))))</f>
        <v>Un-known</v>
      </c>
      <c r="E80" s="37" t="str">
        <f>CLEAN(TRIM(IF('Raw data for Day5'!D80="germany",PROPER('Raw data for Day5'!D80),IF('Raw data for Day5'!D80="usa",UPPER('Raw data for Day5'!D80),IF('Raw data for Day5'!D80="uk",UPPER('Raw data for Day5'!D80),IF('Raw data for Day5'!D80="india",PROPER('Raw data for Day5'!D80),'Raw data for Day5'!D80))))))</f>
        <v>UK</v>
      </c>
      <c r="F80" s="21">
        <f>'Raw data for Day5'!E80</f>
        <v>69166</v>
      </c>
      <c r="G80" s="22">
        <f>'Raw data for Day5'!F80</f>
        <v>42547</v>
      </c>
      <c r="H80" s="36" t="str">
        <f>CLEAN(TRIM('Raw data for Day5'!G80))</f>
        <v>1</v>
      </c>
      <c r="I80" s="35" t="str">
        <f>CLEAN(TRIM('Raw data for Day5'!H80))</f>
        <v>Female</v>
      </c>
      <c r="J80" s="35" t="str">
        <f>CLEAN(TRIM(LOWER('Raw data for Day5'!I80)))</f>
        <v>user22@example.com</v>
      </c>
    </row>
    <row r="81" spans="1:10">
      <c r="A81" s="35" t="str">
        <f>CLEAN(TRIM(LEFT('Raw data for Day5'!A81,3)))</f>
        <v>EMP</v>
      </c>
      <c r="B81" s="38" t="str">
        <f>CLEAN(TRIM(RIGHT('Raw data for Day5'!A81,4)))</f>
        <v>1078</v>
      </c>
      <c r="C81" s="35" t="str">
        <f>CLEAN(TRIM(PROPER('Raw data for Day5'!B81)))</f>
        <v>Sam Wilson</v>
      </c>
      <c r="D81" s="37" t="str">
        <f>CLEAN(TRIM(IF('Raw data for Day5'!C81="finance",PROPER('Raw data for Day5'!C81),IF('Raw data for Day5'!C81="hr", UPPER('Raw data for Day5'!C81),IF('Raw data for Day5'!C81="it",UPPER('Raw data for Day5'!C81),IF('Raw data for Day5'!C81="sales",PROPER('Raw data for Day5'!C81),IF('Raw data for Day5'!C81="marketing",PROPER('Raw data for Day5'!C81),"Un-known")))))))</f>
        <v>Un-known</v>
      </c>
      <c r="E81" s="37" t="str">
        <f>CLEAN(TRIM(IF('Raw data for Day5'!D81="germany",PROPER('Raw data for Day5'!D81),IF('Raw data for Day5'!D81="usa",UPPER('Raw data for Day5'!D81),IF('Raw data for Day5'!D81="uk",UPPER('Raw data for Day5'!D81),IF('Raw data for Day5'!D81="india",PROPER('Raw data for Day5'!D81),'Raw data for Day5'!D81))))))</f>
        <v>UK</v>
      </c>
      <c r="F81" s="21">
        <f>'Raw data for Day5'!E81</f>
        <v>78245</v>
      </c>
      <c r="G81" s="22">
        <f>'Raw data for Day5'!F81</f>
        <v>42554</v>
      </c>
      <c r="H81" s="36" t="str">
        <f>CLEAN(TRIM('Raw data for Day5'!G81))</f>
        <v>2</v>
      </c>
      <c r="I81" s="35" t="str">
        <f>CLEAN(TRIM('Raw data for Day5'!H81))</f>
        <v>Un-known</v>
      </c>
      <c r="J81" s="35" t="str">
        <f>CLEAN(TRIM(LOWER('Raw data for Day5'!I81)))</f>
        <v>user46@example.com</v>
      </c>
    </row>
    <row r="82" spans="1:10">
      <c r="A82" s="35" t="str">
        <f>CLEAN(TRIM(LEFT('Raw data for Day5'!A82,3)))</f>
        <v>EMP</v>
      </c>
      <c r="B82" s="38" t="str">
        <f>CLEAN(TRIM(RIGHT('Raw data for Day5'!A82,4)))</f>
        <v>1079</v>
      </c>
      <c r="C82" s="35" t="str">
        <f>CLEAN(TRIM(PROPER('Raw data for Day5'!B82)))</f>
        <v>Chris Lee</v>
      </c>
      <c r="D82" s="37" t="str">
        <f>CLEAN(TRIM(IF('Raw data for Day5'!C82="finance",PROPER('Raw data for Day5'!C82),IF('Raw data for Day5'!C82="hr", UPPER('Raw data for Day5'!C82),IF('Raw data for Day5'!C82="it",UPPER('Raw data for Day5'!C82),IF('Raw data for Day5'!C82="sales",PROPER('Raw data for Day5'!C82),IF('Raw data for Day5'!C82="marketing",PROPER('Raw data for Day5'!C82),"Un-known")))))))</f>
        <v>Sales</v>
      </c>
      <c r="E82" s="37" t="str">
        <f>CLEAN(TRIM(IF('Raw data for Day5'!D82="germany",PROPER('Raw data for Day5'!D82),IF('Raw data for Day5'!D82="usa",UPPER('Raw data for Day5'!D82),IF('Raw data for Day5'!D82="uk",UPPER('Raw data for Day5'!D82),IF('Raw data for Day5'!D82="india",PROPER('Raw data for Day5'!D82),'Raw data for Day5'!D82))))))</f>
        <v>USA</v>
      </c>
      <c r="F82" s="21">
        <f>'Raw data for Day5'!E82</f>
        <v>66079</v>
      </c>
      <c r="G82" s="22">
        <f>'Raw data for Day5'!F82</f>
        <v>42561</v>
      </c>
      <c r="H82" s="36" t="str">
        <f>CLEAN(TRIM('Raw data for Day5'!G82))</f>
        <v>2</v>
      </c>
      <c r="I82" s="35" t="str">
        <f>CLEAN(TRIM('Raw data for Day5'!H82))</f>
        <v>Other</v>
      </c>
      <c r="J82" s="35" t="str">
        <f>CLEAN(TRIM(LOWER('Raw data for Day5'!I82)))</f>
        <v>user55@example.com</v>
      </c>
    </row>
    <row r="83" spans="1:10">
      <c r="A83" s="35" t="str">
        <f>CLEAN(TRIM(LEFT('Raw data for Day5'!A83,3)))</f>
        <v>EMP</v>
      </c>
      <c r="B83" s="38" t="str">
        <f>CLEAN(TRIM(RIGHT('Raw data for Day5'!A83,4)))</f>
        <v>1080</v>
      </c>
      <c r="C83" s="35" t="str">
        <f>CLEAN(TRIM(PROPER('Raw data for Day5'!B83)))</f>
        <v>Eve Adams</v>
      </c>
      <c r="D83" s="37" t="str">
        <f>CLEAN(TRIM(IF('Raw data for Day5'!C83="finance",PROPER('Raw data for Day5'!C83),IF('Raw data for Day5'!C83="hr", UPPER('Raw data for Day5'!C83),IF('Raw data for Day5'!C83="it",UPPER('Raw data for Day5'!C83),IF('Raw data for Day5'!C83="sales",PROPER('Raw data for Day5'!C83),IF('Raw data for Day5'!C83="marketing",PROPER('Raw data for Day5'!C83),"Un-known")))))))</f>
        <v>Marketing</v>
      </c>
      <c r="E83" s="37" t="str">
        <f>CLEAN(TRIM(IF('Raw data for Day5'!D83="germany",PROPER('Raw data for Day5'!D83),IF('Raw data for Day5'!D83="usa",UPPER('Raw data for Day5'!D83),IF('Raw data for Day5'!D83="uk",UPPER('Raw data for Day5'!D83),IF('Raw data for Day5'!D83="india",PROPER('Raw data for Day5'!D83),'Raw data for Day5'!D83))))))</f>
        <v>India</v>
      </c>
      <c r="F83" s="21" t="str">
        <f>'Raw data for Day5'!E83</f>
        <v>0</v>
      </c>
      <c r="G83" s="22" t="str">
        <f>'Raw data for Day5'!F83</f>
        <v>Un-known</v>
      </c>
      <c r="H83" s="36" t="str">
        <f>CLEAN(TRIM('Raw data for Day5'!G83))</f>
        <v>N/A</v>
      </c>
      <c r="I83" s="35" t="str">
        <f>CLEAN(TRIM('Raw data for Day5'!H83))</f>
        <v>Un-known</v>
      </c>
      <c r="J83" s="35" t="str">
        <f>CLEAN(TRIM(LOWER('Raw data for Day5'!I83)))</f>
        <v>user135@example.com</v>
      </c>
    </row>
    <row r="84" spans="1:10">
      <c r="A84" s="35" t="str">
        <f>CLEAN(TRIM(LEFT('Raw data for Day5'!A84,3)))</f>
        <v>EMP</v>
      </c>
      <c r="B84" s="38" t="str">
        <f>CLEAN(TRIM(RIGHT('Raw data for Day5'!A84,4)))</f>
        <v>1081</v>
      </c>
      <c r="C84" s="35" t="str">
        <f>CLEAN(TRIM(PROPER('Raw data for Day5'!B84)))</f>
        <v>Jane Smith</v>
      </c>
      <c r="D84" s="37" t="str">
        <f>CLEAN(TRIM(IF('Raw data for Day5'!C84="finance",PROPER('Raw data for Day5'!C84),IF('Raw data for Day5'!C84="hr", UPPER('Raw data for Day5'!C84),IF('Raw data for Day5'!C84="it",UPPER('Raw data for Day5'!C84),IF('Raw data for Day5'!C84="sales",PROPER('Raw data for Day5'!C84),IF('Raw data for Day5'!C84="marketing",PROPER('Raw data for Day5'!C84),"Un-known")))))))</f>
        <v>Sales</v>
      </c>
      <c r="E84" s="37" t="str">
        <f>CLEAN(TRIM(IF('Raw data for Day5'!D84="germany",PROPER('Raw data for Day5'!D84),IF('Raw data for Day5'!D84="usa",UPPER('Raw data for Day5'!D84),IF('Raw data for Day5'!D84="uk",UPPER('Raw data for Day5'!D84),IF('Raw data for Day5'!D84="india",PROPER('Raw data for Day5'!D84),'Raw data for Day5'!D84))))))</f>
        <v>USA</v>
      </c>
      <c r="F84" s="21">
        <f>'Raw data for Day5'!E84</f>
        <v>95621</v>
      </c>
      <c r="G84" s="22">
        <f>'Raw data for Day5'!F84</f>
        <v>42575</v>
      </c>
      <c r="H84" s="36" t="str">
        <f>CLEAN(TRIM('Raw data for Day5'!G84))</f>
        <v>3</v>
      </c>
      <c r="I84" s="35" t="str">
        <f>CLEAN(TRIM('Raw data for Day5'!H84))</f>
        <v>Female</v>
      </c>
      <c r="J84" s="35" t="str">
        <f>CLEAN(TRIM(LOWER('Raw data for Day5'!I84)))</f>
        <v>user156@example.com</v>
      </c>
    </row>
    <row r="85" spans="1:10">
      <c r="A85" s="35" t="str">
        <f>CLEAN(TRIM(LEFT('Raw data for Day5'!A85,3)))</f>
        <v>EMP</v>
      </c>
      <c r="B85" s="38" t="str">
        <f>CLEAN(TRIM(RIGHT('Raw data for Day5'!A85,4)))</f>
        <v>1082</v>
      </c>
      <c r="C85" s="35" t="str">
        <f>CLEAN(TRIM(PROPER('Raw data for Day5'!B85)))</f>
        <v>Eve Adams</v>
      </c>
      <c r="D85" s="37" t="str">
        <f>CLEAN(TRIM(IF('Raw data for Day5'!C85="finance",PROPER('Raw data for Day5'!C85),IF('Raw data for Day5'!C85="hr", UPPER('Raw data for Day5'!C85),IF('Raw data for Day5'!C85="it",UPPER('Raw data for Day5'!C85),IF('Raw data for Day5'!C85="sales",PROPER('Raw data for Day5'!C85),IF('Raw data for Day5'!C85="marketing",PROPER('Raw data for Day5'!C85),"Un-known")))))))</f>
        <v>IT</v>
      </c>
      <c r="E85" s="37" t="str">
        <f>CLEAN(TRIM(IF('Raw data for Day5'!D85="germany",PROPER('Raw data for Day5'!D85),IF('Raw data for Day5'!D85="usa",UPPER('Raw data for Day5'!D85),IF('Raw data for Day5'!D85="uk",UPPER('Raw data for Day5'!D85),IF('Raw data for Day5'!D85="india",PROPER('Raw data for Day5'!D85),'Raw data for Day5'!D85))))))</f>
        <v>UK</v>
      </c>
      <c r="F85" s="21">
        <f>'Raw data for Day5'!E85</f>
        <v>42262</v>
      </c>
      <c r="G85" s="22">
        <f>'Raw data for Day5'!F85</f>
        <v>42582</v>
      </c>
      <c r="H85" s="36" t="str">
        <f>CLEAN(TRIM('Raw data for Day5'!G85))</f>
        <v>1</v>
      </c>
      <c r="I85" s="35" t="str">
        <f>CLEAN(TRIM('Raw data for Day5'!H85))</f>
        <v>Un-known</v>
      </c>
      <c r="J85" s="35" t="str">
        <f>CLEAN(TRIM(LOWER('Raw data for Day5'!I85)))</f>
        <v>user104@example.com</v>
      </c>
    </row>
    <row r="86" spans="1:10">
      <c r="A86" s="35" t="str">
        <f>CLEAN(TRIM(LEFT('Raw data for Day5'!A86,3)))</f>
        <v>EMP</v>
      </c>
      <c r="B86" s="38" t="str">
        <f>CLEAN(TRIM(RIGHT('Raw data for Day5'!A86,4)))</f>
        <v>1083</v>
      </c>
      <c r="C86" s="35" t="str">
        <f>CLEAN(TRIM(PROPER('Raw data for Day5'!B86)))</f>
        <v>Sam Wilson</v>
      </c>
      <c r="D86" s="37" t="str">
        <f>CLEAN(TRIM(IF('Raw data for Day5'!C86="finance",PROPER('Raw data for Day5'!C86),IF('Raw data for Day5'!C86="hr", UPPER('Raw data for Day5'!C86),IF('Raw data for Day5'!C86="it",UPPER('Raw data for Day5'!C86),IF('Raw data for Day5'!C86="sales",PROPER('Raw data for Day5'!C86),IF('Raw data for Day5'!C86="marketing",PROPER('Raw data for Day5'!C86),"Un-known")))))))</f>
        <v>Sales</v>
      </c>
      <c r="E86" s="37" t="str">
        <f>CLEAN(TRIM(IF('Raw data for Day5'!D86="germany",PROPER('Raw data for Day5'!D86),IF('Raw data for Day5'!D86="usa",UPPER('Raw data for Day5'!D86),IF('Raw data for Day5'!D86="uk",UPPER('Raw data for Day5'!D86),IF('Raw data for Day5'!D86="india",PROPER('Raw data for Day5'!D86),'Raw data for Day5'!D86))))))</f>
        <v>India</v>
      </c>
      <c r="F86" s="21">
        <f>'Raw data for Day5'!E86</f>
        <v>99621</v>
      </c>
      <c r="G86" s="22">
        <f>'Raw data for Day5'!F86</f>
        <v>42589</v>
      </c>
      <c r="H86" s="36" t="str">
        <f>CLEAN(TRIM('Raw data for Day5'!G86))</f>
        <v>N/A</v>
      </c>
      <c r="I86" s="35" t="str">
        <f>CLEAN(TRIM('Raw data for Day5'!H86))</f>
        <v>Other</v>
      </c>
      <c r="J86" s="35" t="str">
        <f>CLEAN(TRIM(LOWER('Raw data for Day5'!I86)))</f>
        <v>user145@example.com</v>
      </c>
    </row>
    <row r="87" spans="1:10">
      <c r="A87" s="35" t="str">
        <f>CLEAN(TRIM(LEFT('Raw data for Day5'!A87,3)))</f>
        <v>EMP</v>
      </c>
      <c r="B87" s="38" t="str">
        <f>CLEAN(TRIM(RIGHT('Raw data for Day5'!A87,4)))</f>
        <v>1084</v>
      </c>
      <c r="C87" s="35" t="str">
        <f>CLEAN(TRIM(PROPER('Raw data for Day5'!B87)))</f>
        <v>John Doe</v>
      </c>
      <c r="D87" s="37" t="str">
        <f>CLEAN(TRIM(IF('Raw data for Day5'!C87="finance",PROPER('Raw data for Day5'!C87),IF('Raw data for Day5'!C87="hr", UPPER('Raw data for Day5'!C87),IF('Raw data for Day5'!C87="it",UPPER('Raw data for Day5'!C87),IF('Raw data for Day5'!C87="sales",PROPER('Raw data for Day5'!C87),IF('Raw data for Day5'!C87="marketing",PROPER('Raw data for Day5'!C87),"Un-known")))))))</f>
        <v>Marketing</v>
      </c>
      <c r="E87" s="37" t="str">
        <f>CLEAN(TRIM(IF('Raw data for Day5'!D87="germany",PROPER('Raw data for Day5'!D87),IF('Raw data for Day5'!D87="usa",UPPER('Raw data for Day5'!D87),IF('Raw data for Day5'!D87="uk",UPPER('Raw data for Day5'!D87),IF('Raw data for Day5'!D87="india",PROPER('Raw data for Day5'!D87),'Raw data for Day5'!D87))))))</f>
        <v>India</v>
      </c>
      <c r="F87" s="21">
        <f>'Raw data for Day5'!E87</f>
        <v>44682</v>
      </c>
      <c r="G87" s="22">
        <f>'Raw data for Day5'!F87</f>
        <v>42596</v>
      </c>
      <c r="H87" s="36" t="str">
        <f>CLEAN(TRIM('Raw data for Day5'!G87))</f>
        <v>4</v>
      </c>
      <c r="I87" s="35" t="str">
        <f>CLEAN(TRIM('Raw data for Day5'!H87))</f>
        <v>Female</v>
      </c>
      <c r="J87" s="35" t="str">
        <f>CLEAN(TRIM(LOWER('Raw data for Day5'!I87)))</f>
        <v>user47@example.com</v>
      </c>
    </row>
    <row r="88" spans="1:10">
      <c r="A88" s="35" t="str">
        <f>CLEAN(TRIM(LEFT('Raw data for Day5'!A88,3)))</f>
        <v>EMP</v>
      </c>
      <c r="B88" s="38" t="str">
        <f>CLEAN(TRIM(RIGHT('Raw data for Day5'!A88,4)))</f>
        <v>1085</v>
      </c>
      <c r="C88" s="35" t="str">
        <f>CLEAN(TRIM(PROPER('Raw data for Day5'!B88)))</f>
        <v>Chris Lee</v>
      </c>
      <c r="D88" s="37" t="str">
        <f>CLEAN(TRIM(IF('Raw data for Day5'!C88="finance",PROPER('Raw data for Day5'!C88),IF('Raw data for Day5'!C88="hr", UPPER('Raw data for Day5'!C88),IF('Raw data for Day5'!C88="it",UPPER('Raw data for Day5'!C88),IF('Raw data for Day5'!C88="sales",PROPER('Raw data for Day5'!C88),IF('Raw data for Day5'!C88="marketing",PROPER('Raw data for Day5'!C88),"Un-known")))))))</f>
        <v>Finance</v>
      </c>
      <c r="E88" s="37" t="str">
        <f>CLEAN(TRIM(IF('Raw data for Day5'!D88="germany",PROPER('Raw data for Day5'!D88),IF('Raw data for Day5'!D88="usa",UPPER('Raw data for Day5'!D88),IF('Raw data for Day5'!D88="uk",UPPER('Raw data for Day5'!D88),IF('Raw data for Day5'!D88="india",PROPER('Raw data for Day5'!D88),'Raw data for Day5'!D88))))))</f>
        <v>Un-known</v>
      </c>
      <c r="F88" s="21">
        <f>'Raw data for Day5'!E88</f>
        <v>35163</v>
      </c>
      <c r="G88" s="22">
        <f>'Raw data for Day5'!F88</f>
        <v>42603</v>
      </c>
      <c r="H88" s="36" t="str">
        <f>CLEAN(TRIM('Raw data for Day5'!G88))</f>
        <v>5</v>
      </c>
      <c r="I88" s="35" t="str">
        <f>CLEAN(TRIM('Raw data for Day5'!H88))</f>
        <v>Other</v>
      </c>
      <c r="J88" s="35" t="str">
        <f>CLEAN(TRIM(LOWER('Raw data for Day5'!I88)))</f>
        <v>user197@example.com</v>
      </c>
    </row>
    <row r="89" spans="1:10">
      <c r="A89" s="35" t="str">
        <f>CLEAN(TRIM(LEFT('Raw data for Day5'!A89,3)))</f>
        <v>EMP</v>
      </c>
      <c r="B89" s="38" t="str">
        <f>CLEAN(TRIM(RIGHT('Raw data for Day5'!A89,4)))</f>
        <v>1086</v>
      </c>
      <c r="C89" s="35" t="str">
        <f>CLEAN(TRIM(PROPER('Raw data for Day5'!B89)))</f>
        <v>Chris Lee</v>
      </c>
      <c r="D89" s="37" t="str">
        <f>CLEAN(TRIM(IF('Raw data for Day5'!C89="finance",PROPER('Raw data for Day5'!C89),IF('Raw data for Day5'!C89="hr", UPPER('Raw data for Day5'!C89),IF('Raw data for Day5'!C89="it",UPPER('Raw data for Day5'!C89),IF('Raw data for Day5'!C89="sales",PROPER('Raw data for Day5'!C89),IF('Raw data for Day5'!C89="marketing",PROPER('Raw data for Day5'!C89),"Un-known")))))))</f>
        <v>IT</v>
      </c>
      <c r="E89" s="37" t="str">
        <f>CLEAN(TRIM(IF('Raw data for Day5'!D89="germany",PROPER('Raw data for Day5'!D89),IF('Raw data for Day5'!D89="usa",UPPER('Raw data for Day5'!D89),IF('Raw data for Day5'!D89="uk",UPPER('Raw data for Day5'!D89),IF('Raw data for Day5'!D89="india",PROPER('Raw data for Day5'!D89),'Raw data for Day5'!D89))))))</f>
        <v>India</v>
      </c>
      <c r="F89" s="21">
        <f>'Raw data for Day5'!E89</f>
        <v>33483</v>
      </c>
      <c r="G89" s="22">
        <f>'Raw data for Day5'!F89</f>
        <v>42610</v>
      </c>
      <c r="H89" s="36" t="str">
        <f>CLEAN(TRIM('Raw data for Day5'!G89))</f>
        <v>4</v>
      </c>
      <c r="I89" s="35" t="str">
        <f>CLEAN(TRIM('Raw data for Day5'!H89))</f>
        <v>Male</v>
      </c>
      <c r="J89" s="35" t="str">
        <f>CLEAN(TRIM(LOWER('Raw data for Day5'!I89)))</f>
        <v>user177@example.com</v>
      </c>
    </row>
    <row r="90" spans="1:10">
      <c r="A90" s="35" t="str">
        <f>CLEAN(TRIM(LEFT('Raw data for Day5'!A90,3)))</f>
        <v>EMP</v>
      </c>
      <c r="B90" s="38" t="str">
        <f>CLEAN(TRIM(RIGHT('Raw data for Day5'!A90,4)))</f>
        <v>1087</v>
      </c>
      <c r="C90" s="35" t="str">
        <f>CLEAN(TRIM(PROPER('Raw data for Day5'!B90)))</f>
        <v>Sam Wilson</v>
      </c>
      <c r="D90" s="37" t="str">
        <f>CLEAN(TRIM(IF('Raw data for Day5'!C90="finance",PROPER('Raw data for Day5'!C90),IF('Raw data for Day5'!C90="hr", UPPER('Raw data for Day5'!C90),IF('Raw data for Day5'!C90="it",UPPER('Raw data for Day5'!C90),IF('Raw data for Day5'!C90="sales",PROPER('Raw data for Day5'!C90),IF('Raw data for Day5'!C90="marketing",PROPER('Raw data for Day5'!C90),"Un-known")))))))</f>
        <v>HR</v>
      </c>
      <c r="E90" s="37" t="str">
        <f>CLEAN(TRIM(IF('Raw data for Day5'!D90="germany",PROPER('Raw data for Day5'!D90),IF('Raw data for Day5'!D90="usa",UPPER('Raw data for Day5'!D90),IF('Raw data for Day5'!D90="uk",UPPER('Raw data for Day5'!D90),IF('Raw data for Day5'!D90="india",PROPER('Raw data for Day5'!D90),'Raw data for Day5'!D90))))))</f>
        <v>Germany</v>
      </c>
      <c r="F90" s="21">
        <f>'Raw data for Day5'!E90</f>
        <v>55303</v>
      </c>
      <c r="G90" s="22">
        <f>'Raw data for Day5'!F90</f>
        <v>42617</v>
      </c>
      <c r="H90" s="36" t="str">
        <f>CLEAN(TRIM('Raw data for Day5'!G90))</f>
        <v>4</v>
      </c>
      <c r="I90" s="35" t="str">
        <f>CLEAN(TRIM('Raw data for Day5'!H90))</f>
        <v>Male</v>
      </c>
      <c r="J90" s="35" t="str">
        <f>CLEAN(TRIM(LOWER('Raw data for Day5'!I90)))</f>
        <v>user149@example.com</v>
      </c>
    </row>
    <row r="91" spans="1:10">
      <c r="A91" s="35" t="str">
        <f>CLEAN(TRIM(LEFT('Raw data for Day5'!A91,3)))</f>
        <v>EMP</v>
      </c>
      <c r="B91" s="38" t="str">
        <f>CLEAN(TRIM(RIGHT('Raw data for Day5'!A91,4)))</f>
        <v>1088</v>
      </c>
      <c r="C91" s="35" t="str">
        <f>CLEAN(TRIM(PROPER('Raw data for Day5'!B91)))</f>
        <v>Chris Lee</v>
      </c>
      <c r="D91" s="37" t="str">
        <f>CLEAN(TRIM(IF('Raw data for Day5'!C91="finance",PROPER('Raw data for Day5'!C91),IF('Raw data for Day5'!C91="hr", UPPER('Raw data for Day5'!C91),IF('Raw data for Day5'!C91="it",UPPER('Raw data for Day5'!C91),IF('Raw data for Day5'!C91="sales",PROPER('Raw data for Day5'!C91),IF('Raw data for Day5'!C91="marketing",PROPER('Raw data for Day5'!C91),"Un-known")))))))</f>
        <v>IT</v>
      </c>
      <c r="E91" s="37" t="str">
        <f>CLEAN(TRIM(IF('Raw data for Day5'!D91="germany",PROPER('Raw data for Day5'!D91),IF('Raw data for Day5'!D91="usa",UPPER('Raw data for Day5'!D91),IF('Raw data for Day5'!D91="uk",UPPER('Raw data for Day5'!D91),IF('Raw data for Day5'!D91="india",PROPER('Raw data for Day5'!D91),'Raw data for Day5'!D91))))))</f>
        <v>Un-known</v>
      </c>
      <c r="F91" s="21">
        <f>'Raw data for Day5'!E91</f>
        <v>63434</v>
      </c>
      <c r="G91" s="22">
        <f>'Raw data for Day5'!F91</f>
        <v>42624</v>
      </c>
      <c r="H91" s="36" t="str">
        <f>CLEAN(TRIM('Raw data for Day5'!G91))</f>
        <v>3</v>
      </c>
      <c r="I91" s="35" t="str">
        <f>CLEAN(TRIM('Raw data for Day5'!H91))</f>
        <v>Un-known</v>
      </c>
      <c r="J91" s="35" t="str">
        <f>CLEAN(TRIM(LOWER('Raw data for Day5'!I91)))</f>
        <v>user48@example.com</v>
      </c>
    </row>
    <row r="92" spans="1:10">
      <c r="A92" s="35" t="str">
        <f>CLEAN(TRIM(LEFT('Raw data for Day5'!A92,3)))</f>
        <v>EMP</v>
      </c>
      <c r="B92" s="38" t="str">
        <f>CLEAN(TRIM(RIGHT('Raw data for Day5'!A92,4)))</f>
        <v>1089</v>
      </c>
      <c r="C92" s="35" t="str">
        <f>CLEAN(TRIM(PROPER('Raw data for Day5'!B92)))</f>
        <v>Jane Smith</v>
      </c>
      <c r="D92" s="37" t="str">
        <f>CLEAN(TRIM(IF('Raw data for Day5'!C92="finance",PROPER('Raw data for Day5'!C92),IF('Raw data for Day5'!C92="hr", UPPER('Raw data for Day5'!C92),IF('Raw data for Day5'!C92="it",UPPER('Raw data for Day5'!C92),IF('Raw data for Day5'!C92="sales",PROPER('Raw data for Day5'!C92),IF('Raw data for Day5'!C92="marketing",PROPER('Raw data for Day5'!C92),"Un-known")))))))</f>
        <v>Un-known</v>
      </c>
      <c r="E92" s="37" t="str">
        <f>CLEAN(TRIM(IF('Raw data for Day5'!D92="germany",PROPER('Raw data for Day5'!D92),IF('Raw data for Day5'!D92="usa",UPPER('Raw data for Day5'!D92),IF('Raw data for Day5'!D92="uk",UPPER('Raw data for Day5'!D92),IF('Raw data for Day5'!D92="india",PROPER('Raw data for Day5'!D92),'Raw data for Day5'!D92))))))</f>
        <v>Australia</v>
      </c>
      <c r="F92" s="21">
        <f>'Raw data for Day5'!E92</f>
        <v>38830</v>
      </c>
      <c r="G92" s="22">
        <f>'Raw data for Day5'!F92</f>
        <v>42631</v>
      </c>
      <c r="H92" s="36" t="str">
        <f>CLEAN(TRIM('Raw data for Day5'!G92))</f>
        <v>3</v>
      </c>
      <c r="I92" s="35" t="str">
        <f>CLEAN(TRIM('Raw data for Day5'!H92))</f>
        <v>Other</v>
      </c>
      <c r="J92" s="35" t="str">
        <f>CLEAN(TRIM(LOWER('Raw data for Day5'!I92)))</f>
        <v>user149@example.com</v>
      </c>
    </row>
    <row r="93" spans="1:10">
      <c r="A93" s="35" t="str">
        <f>CLEAN(TRIM(LEFT('Raw data for Day5'!A93,3)))</f>
        <v>EMP</v>
      </c>
      <c r="B93" s="38" t="str">
        <f>CLEAN(TRIM(RIGHT('Raw data for Day5'!A93,4)))</f>
        <v>1090</v>
      </c>
      <c r="C93" s="35" t="str">
        <f>CLEAN(TRIM(PROPER('Raw data for Day5'!B93)))</f>
        <v>Un-Known</v>
      </c>
      <c r="D93" s="37" t="str">
        <f>CLEAN(TRIM(IF('Raw data for Day5'!C93="finance",PROPER('Raw data for Day5'!C93),IF('Raw data for Day5'!C93="hr", UPPER('Raw data for Day5'!C93),IF('Raw data for Day5'!C93="it",UPPER('Raw data for Day5'!C93),IF('Raw data for Day5'!C93="sales",PROPER('Raw data for Day5'!C93),IF('Raw data for Day5'!C93="marketing",PROPER('Raw data for Day5'!C93),"Un-known")))))))</f>
        <v>Marketing</v>
      </c>
      <c r="E93" s="37" t="str">
        <f>CLEAN(TRIM(IF('Raw data for Day5'!D93="germany",PROPER('Raw data for Day5'!D93),IF('Raw data for Day5'!D93="usa",UPPER('Raw data for Day5'!D93),IF('Raw data for Day5'!D93="uk",UPPER('Raw data for Day5'!D93),IF('Raw data for Day5'!D93="india",PROPER('Raw data for Day5'!D93),'Raw data for Day5'!D93))))))</f>
        <v>UK</v>
      </c>
      <c r="F93" s="21">
        <f>'Raw data for Day5'!E93</f>
        <v>50741</v>
      </c>
      <c r="G93" s="22">
        <f>'Raw data for Day5'!F93</f>
        <v>42638</v>
      </c>
      <c r="H93" s="36" t="str">
        <f>CLEAN(TRIM('Raw data for Day5'!G93))</f>
        <v>3</v>
      </c>
      <c r="I93" s="35" t="str">
        <f>CLEAN(TRIM('Raw data for Day5'!H93))</f>
        <v>Unknown</v>
      </c>
      <c r="J93" s="35" t="str">
        <f>CLEAN(TRIM(LOWER('Raw data for Day5'!I93)))</f>
        <v>user65@example.com</v>
      </c>
    </row>
    <row r="94" spans="1:10">
      <c r="A94" s="35" t="str">
        <f>CLEAN(TRIM(LEFT('Raw data for Day5'!A94,3)))</f>
        <v>EMP</v>
      </c>
      <c r="B94" s="38" t="str">
        <f>CLEAN(TRIM(RIGHT('Raw data for Day5'!A94,4)))</f>
        <v>1091</v>
      </c>
      <c r="C94" s="35" t="str">
        <f>CLEAN(TRIM(PROPER('Raw data for Day5'!B94)))</f>
        <v>Alice Brown</v>
      </c>
      <c r="D94" s="37" t="str">
        <f>CLEAN(TRIM(IF('Raw data for Day5'!C94="finance",PROPER('Raw data for Day5'!C94),IF('Raw data for Day5'!C94="hr", UPPER('Raw data for Day5'!C94),IF('Raw data for Day5'!C94="it",UPPER('Raw data for Day5'!C94),IF('Raw data for Day5'!C94="sales",PROPER('Raw data for Day5'!C94),IF('Raw data for Day5'!C94="marketing",PROPER('Raw data for Day5'!C94),"Un-known")))))))</f>
        <v>HR</v>
      </c>
      <c r="E94" s="37" t="str">
        <f>CLEAN(TRIM(IF('Raw data for Day5'!D94="germany",PROPER('Raw data for Day5'!D94),IF('Raw data for Day5'!D94="usa",UPPER('Raw data for Day5'!D94),IF('Raw data for Day5'!D94="uk",UPPER('Raw data for Day5'!D94),IF('Raw data for Day5'!D94="india",PROPER('Raw data for Day5'!D94),'Raw data for Day5'!D94))))))</f>
        <v>Australia</v>
      </c>
      <c r="F94" s="21">
        <f>'Raw data for Day5'!E94</f>
        <v>69420</v>
      </c>
      <c r="G94" s="22">
        <f>'Raw data for Day5'!F94</f>
        <v>42645</v>
      </c>
      <c r="H94" s="36" t="str">
        <f>CLEAN(TRIM('Raw data for Day5'!G94))</f>
        <v>1</v>
      </c>
      <c r="I94" s="35" t="str">
        <f>CLEAN(TRIM('Raw data for Day5'!H94))</f>
        <v>Male</v>
      </c>
      <c r="J94" s="35" t="str">
        <f>CLEAN(TRIM(LOWER('Raw data for Day5'!I94)))</f>
        <v>user43@example.com</v>
      </c>
    </row>
    <row r="95" spans="1:10">
      <c r="A95" s="35" t="str">
        <f>CLEAN(TRIM(LEFT('Raw data for Day5'!A95,3)))</f>
        <v>EMP</v>
      </c>
      <c r="B95" s="38" t="str">
        <f>CLEAN(TRIM(RIGHT('Raw data for Day5'!A95,4)))</f>
        <v>1092</v>
      </c>
      <c r="C95" s="35" t="str">
        <f>CLEAN(TRIM(PROPER('Raw data for Day5'!B95)))</f>
        <v>Jane Smith</v>
      </c>
      <c r="D95" s="37" t="str">
        <f>CLEAN(TRIM(IF('Raw data for Day5'!C95="finance",PROPER('Raw data for Day5'!C95),IF('Raw data for Day5'!C95="hr", UPPER('Raw data for Day5'!C95),IF('Raw data for Day5'!C95="it",UPPER('Raw data for Day5'!C95),IF('Raw data for Day5'!C95="sales",PROPER('Raw data for Day5'!C95),IF('Raw data for Day5'!C95="marketing",PROPER('Raw data for Day5'!C95),"Un-known")))))))</f>
        <v>IT</v>
      </c>
      <c r="E95" s="37" t="str">
        <f>CLEAN(TRIM(IF('Raw data for Day5'!D95="germany",PROPER('Raw data for Day5'!D95),IF('Raw data for Day5'!D95="usa",UPPER('Raw data for Day5'!D95),IF('Raw data for Day5'!D95="uk",UPPER('Raw data for Day5'!D95),IF('Raw data for Day5'!D95="india",PROPER('Raw data for Day5'!D95),'Raw data for Day5'!D95))))))</f>
        <v>Un-known</v>
      </c>
      <c r="F95" s="21">
        <f>'Raw data for Day5'!E95</f>
        <v>80588</v>
      </c>
      <c r="G95" s="22">
        <f>'Raw data for Day5'!F95</f>
        <v>42652</v>
      </c>
      <c r="H95" s="36" t="str">
        <f>CLEAN(TRIM('Raw data for Day5'!G95))</f>
        <v>5</v>
      </c>
      <c r="I95" s="35" t="str">
        <f>CLEAN(TRIM('Raw data for Day5'!H95))</f>
        <v>Male</v>
      </c>
      <c r="J95" s="35" t="str">
        <f>CLEAN(TRIM(LOWER('Raw data for Day5'!I95)))</f>
        <v>user98@example.com</v>
      </c>
    </row>
    <row r="96" spans="1:10">
      <c r="A96" s="35" t="str">
        <f>CLEAN(TRIM(LEFT('Raw data for Day5'!A96,3)))</f>
        <v>EMP</v>
      </c>
      <c r="B96" s="38" t="str">
        <f>CLEAN(TRIM(RIGHT('Raw data for Day5'!A96,4)))</f>
        <v>1093</v>
      </c>
      <c r="C96" s="35" t="str">
        <f>CLEAN(TRIM(PROPER('Raw data for Day5'!B96)))</f>
        <v>Alice Brown</v>
      </c>
      <c r="D96" s="37" t="str">
        <f>CLEAN(TRIM(IF('Raw data for Day5'!C96="finance",PROPER('Raw data for Day5'!C96),IF('Raw data for Day5'!C96="hr", UPPER('Raw data for Day5'!C96),IF('Raw data for Day5'!C96="it",UPPER('Raw data for Day5'!C96),IF('Raw data for Day5'!C96="sales",PROPER('Raw data for Day5'!C96),IF('Raw data for Day5'!C96="marketing",PROPER('Raw data for Day5'!C96),"Un-known")))))))</f>
        <v>Un-known</v>
      </c>
      <c r="E96" s="37" t="str">
        <f>CLEAN(TRIM(IF('Raw data for Day5'!D96="germany",PROPER('Raw data for Day5'!D96),IF('Raw data for Day5'!D96="usa",UPPER('Raw data for Day5'!D96),IF('Raw data for Day5'!D96="uk",UPPER('Raw data for Day5'!D96),IF('Raw data for Day5'!D96="india",PROPER('Raw data for Day5'!D96),'Raw data for Day5'!D96))))))</f>
        <v>USA</v>
      </c>
      <c r="F96" s="21">
        <f>'Raw data for Day5'!E96</f>
        <v>76238</v>
      </c>
      <c r="G96" s="22">
        <f>'Raw data for Day5'!F96</f>
        <v>42659</v>
      </c>
      <c r="H96" s="36" t="str">
        <f>CLEAN(TRIM('Raw data for Day5'!G96))</f>
        <v>4</v>
      </c>
      <c r="I96" s="35" t="str">
        <f>CLEAN(TRIM('Raw data for Day5'!H96))</f>
        <v>Male</v>
      </c>
      <c r="J96" s="35" t="str">
        <f>CLEAN(TRIM(LOWER('Raw data for Day5'!I96)))</f>
        <v>user102@example.com</v>
      </c>
    </row>
    <row r="97" spans="1:10">
      <c r="A97" s="35" t="str">
        <f>CLEAN(TRIM(LEFT('Raw data for Day5'!A97,3)))</f>
        <v>EMP</v>
      </c>
      <c r="B97" s="38" t="str">
        <f>CLEAN(TRIM(RIGHT('Raw data for Day5'!A97,4)))</f>
        <v>1094</v>
      </c>
      <c r="C97" s="35" t="str">
        <f>CLEAN(TRIM(PROPER('Raw data for Day5'!B97)))</f>
        <v>Bob Johnson</v>
      </c>
      <c r="D97" s="37" t="str">
        <f>CLEAN(TRIM(IF('Raw data for Day5'!C97="finance",PROPER('Raw data for Day5'!C97),IF('Raw data for Day5'!C97="hr", UPPER('Raw data for Day5'!C97),IF('Raw data for Day5'!C97="it",UPPER('Raw data for Day5'!C97),IF('Raw data for Day5'!C97="sales",PROPER('Raw data for Day5'!C97),IF('Raw data for Day5'!C97="marketing",PROPER('Raw data for Day5'!C97),"Un-known")))))))</f>
        <v>IT</v>
      </c>
      <c r="E97" s="37" t="str">
        <f>CLEAN(TRIM(IF('Raw data for Day5'!D97="germany",PROPER('Raw data for Day5'!D97),IF('Raw data for Day5'!D97="usa",UPPER('Raw data for Day5'!D97),IF('Raw data for Day5'!D97="uk",UPPER('Raw data for Day5'!D97),IF('Raw data for Day5'!D97="india",PROPER('Raw data for Day5'!D97),'Raw data for Day5'!D97))))))</f>
        <v>India</v>
      </c>
      <c r="F97" s="21">
        <f>'Raw data for Day5'!E97</f>
        <v>33264</v>
      </c>
      <c r="G97" s="22">
        <f>'Raw data for Day5'!F97</f>
        <v>42666</v>
      </c>
      <c r="H97" s="36" t="str">
        <f>CLEAN(TRIM('Raw data for Day5'!G97))</f>
        <v>N/A</v>
      </c>
      <c r="I97" s="35" t="str">
        <f>CLEAN(TRIM('Raw data for Day5'!H97))</f>
        <v>Female</v>
      </c>
      <c r="J97" s="35" t="str">
        <f>CLEAN(TRIM(LOWER('Raw data for Day5'!I97)))</f>
        <v>user148@example.com</v>
      </c>
    </row>
    <row r="98" spans="1:10">
      <c r="A98" s="35" t="str">
        <f>CLEAN(TRIM(LEFT('Raw data for Day5'!A98,3)))</f>
        <v>EMP</v>
      </c>
      <c r="B98" s="38" t="str">
        <f>CLEAN(TRIM(RIGHT('Raw data for Day5'!A98,4)))</f>
        <v>1095</v>
      </c>
      <c r="C98" s="35" t="str">
        <f>CLEAN(TRIM(PROPER('Raw data for Day5'!B98)))</f>
        <v>Alice Brown</v>
      </c>
      <c r="D98" s="37" t="str">
        <f>CLEAN(TRIM(IF('Raw data for Day5'!C98="finance",PROPER('Raw data for Day5'!C98),IF('Raw data for Day5'!C98="hr", UPPER('Raw data for Day5'!C98),IF('Raw data for Day5'!C98="it",UPPER('Raw data for Day5'!C98),IF('Raw data for Day5'!C98="sales",PROPER('Raw data for Day5'!C98),IF('Raw data for Day5'!C98="marketing",PROPER('Raw data for Day5'!C98),"Un-known")))))))</f>
        <v>Finance</v>
      </c>
      <c r="E98" s="37" t="str">
        <f>CLEAN(TRIM(IF('Raw data for Day5'!D98="germany",PROPER('Raw data for Day5'!D98),IF('Raw data for Day5'!D98="usa",UPPER('Raw data for Day5'!D98),IF('Raw data for Day5'!D98="uk",UPPER('Raw data for Day5'!D98),IF('Raw data for Day5'!D98="india",PROPER('Raw data for Day5'!D98),'Raw data for Day5'!D98))))))</f>
        <v>Australia</v>
      </c>
      <c r="F98" s="21">
        <f>'Raw data for Day5'!E98</f>
        <v>96101</v>
      </c>
      <c r="G98" s="22">
        <f>'Raw data for Day5'!F98</f>
        <v>42673</v>
      </c>
      <c r="H98" s="36" t="str">
        <f>CLEAN(TRIM('Raw data for Day5'!G98))</f>
        <v>N/A</v>
      </c>
      <c r="I98" s="35" t="str">
        <f>CLEAN(TRIM('Raw data for Day5'!H98))</f>
        <v>Other</v>
      </c>
      <c r="J98" s="35" t="str">
        <f>CLEAN(TRIM(LOWER('Raw data for Day5'!I98)))</f>
        <v>user155@example.com</v>
      </c>
    </row>
    <row r="99" spans="1:10">
      <c r="A99" s="35" t="str">
        <f>CLEAN(TRIM(LEFT('Raw data for Day5'!A99,3)))</f>
        <v>EMP</v>
      </c>
      <c r="B99" s="38" t="str">
        <f>CLEAN(TRIM(RIGHT('Raw data for Day5'!A99,4)))</f>
        <v>1096</v>
      </c>
      <c r="C99" s="35" t="str">
        <f>CLEAN(TRIM(PROPER('Raw data for Day5'!B99)))</f>
        <v>Jane Smith</v>
      </c>
      <c r="D99" s="37" t="str">
        <f>CLEAN(TRIM(IF('Raw data for Day5'!C99="finance",PROPER('Raw data for Day5'!C99),IF('Raw data for Day5'!C99="hr", UPPER('Raw data for Day5'!C99),IF('Raw data for Day5'!C99="it",UPPER('Raw data for Day5'!C99),IF('Raw data for Day5'!C99="sales",PROPER('Raw data for Day5'!C99),IF('Raw data for Day5'!C99="marketing",PROPER('Raw data for Day5'!C99),"Un-known")))))))</f>
        <v>Finance</v>
      </c>
      <c r="E99" s="37" t="str">
        <f>CLEAN(TRIM(IF('Raw data for Day5'!D99="germany",PROPER('Raw data for Day5'!D99),IF('Raw data for Day5'!D99="usa",UPPER('Raw data for Day5'!D99),IF('Raw data for Day5'!D99="uk",UPPER('Raw data for Day5'!D99),IF('Raw data for Day5'!D99="india",PROPER('Raw data for Day5'!D99),'Raw data for Day5'!D99))))))</f>
        <v>USA</v>
      </c>
      <c r="F99" s="21">
        <f>'Raw data for Day5'!E99</f>
        <v>72939</v>
      </c>
      <c r="G99" s="22">
        <f>'Raw data for Day5'!F99</f>
        <v>42680</v>
      </c>
      <c r="H99" s="36" t="str">
        <f>CLEAN(TRIM('Raw data for Day5'!G99))</f>
        <v>3</v>
      </c>
      <c r="I99" s="35" t="str">
        <f>CLEAN(TRIM('Raw data for Day5'!H99))</f>
        <v>Un-known</v>
      </c>
      <c r="J99" s="35" t="str">
        <f>CLEAN(TRIM(LOWER('Raw data for Day5'!I99)))</f>
        <v>user191@example.com</v>
      </c>
    </row>
    <row r="100" spans="1:10">
      <c r="A100" s="35" t="str">
        <f>CLEAN(TRIM(LEFT('Raw data for Day5'!A100,3)))</f>
        <v>EMP</v>
      </c>
      <c r="B100" s="38" t="str">
        <f>CLEAN(TRIM(RIGHT('Raw data for Day5'!A100,4)))</f>
        <v>1097</v>
      </c>
      <c r="C100" s="35" t="str">
        <f>CLEAN(TRIM(PROPER('Raw data for Day5'!B100)))</f>
        <v>Sam Wilson</v>
      </c>
      <c r="D100" s="37" t="str">
        <f>CLEAN(TRIM(IF('Raw data for Day5'!C100="finance",PROPER('Raw data for Day5'!C100),IF('Raw data for Day5'!C100="hr", UPPER('Raw data for Day5'!C100),IF('Raw data for Day5'!C100="it",UPPER('Raw data for Day5'!C100),IF('Raw data for Day5'!C100="sales",PROPER('Raw data for Day5'!C100),IF('Raw data for Day5'!C100="marketing",PROPER('Raw data for Day5'!C100),"Un-known")))))))</f>
        <v>HR</v>
      </c>
      <c r="E100" s="37" t="str">
        <f>CLEAN(TRIM(IF('Raw data for Day5'!D100="germany",PROPER('Raw data for Day5'!D100),IF('Raw data for Day5'!D100="usa",UPPER('Raw data for Day5'!D100),IF('Raw data for Day5'!D100="uk",UPPER('Raw data for Day5'!D100),IF('Raw data for Day5'!D100="india",PROPER('Raw data for Day5'!D100),'Raw data for Day5'!D100))))))</f>
        <v>Germany</v>
      </c>
      <c r="F100" s="21">
        <f>'Raw data for Day5'!E100</f>
        <v>89333</v>
      </c>
      <c r="G100" s="22">
        <f>'Raw data for Day5'!F100</f>
        <v>42687</v>
      </c>
      <c r="H100" s="36" t="str">
        <f>CLEAN(TRIM('Raw data for Day5'!G100))</f>
        <v>1</v>
      </c>
      <c r="I100" s="35" t="str">
        <f>CLEAN(TRIM('Raw data for Day5'!H100))</f>
        <v>Male</v>
      </c>
      <c r="J100" s="35" t="str">
        <f>CLEAN(TRIM(LOWER('Raw data for Day5'!I100)))</f>
        <v>user113@example.com</v>
      </c>
    </row>
    <row r="101" spans="1:10">
      <c r="A101" s="35" t="str">
        <f>CLEAN(TRIM(LEFT('Raw data for Day5'!A101,3)))</f>
        <v>EMP</v>
      </c>
      <c r="B101" s="38" t="str">
        <f>CLEAN(TRIM(RIGHT('Raw data for Day5'!A101,4)))</f>
        <v>1098</v>
      </c>
      <c r="C101" s="35" t="str">
        <f>CLEAN(TRIM(PROPER('Raw data for Day5'!B101)))</f>
        <v>Bob Johnson</v>
      </c>
      <c r="D101" s="37" t="str">
        <f>CLEAN(TRIM(IF('Raw data for Day5'!C101="finance",PROPER('Raw data for Day5'!C101),IF('Raw data for Day5'!C101="hr", UPPER('Raw data for Day5'!C101),IF('Raw data for Day5'!C101="it",UPPER('Raw data for Day5'!C101),IF('Raw data for Day5'!C101="sales",PROPER('Raw data for Day5'!C101),IF('Raw data for Day5'!C101="marketing",PROPER('Raw data for Day5'!C101),"Un-known")))))))</f>
        <v>IT</v>
      </c>
      <c r="E101" s="37" t="str">
        <f>CLEAN(TRIM(IF('Raw data for Day5'!D101="germany",PROPER('Raw data for Day5'!D101),IF('Raw data for Day5'!D101="usa",UPPER('Raw data for Day5'!D101),IF('Raw data for Day5'!D101="uk",UPPER('Raw data for Day5'!D101),IF('Raw data for Day5'!D101="india",PROPER('Raw data for Day5'!D101),'Raw data for Day5'!D101))))))</f>
        <v>Australia</v>
      </c>
      <c r="F101" s="21">
        <f>'Raw data for Day5'!E101</f>
        <v>70470</v>
      </c>
      <c r="G101" s="22">
        <f>'Raw data for Day5'!F101</f>
        <v>42694</v>
      </c>
      <c r="H101" s="36" t="str">
        <f>CLEAN(TRIM('Raw data for Day5'!G101))</f>
        <v>N/A</v>
      </c>
      <c r="I101" s="35" t="str">
        <f>CLEAN(TRIM('Raw data for Day5'!H101))</f>
        <v>Male</v>
      </c>
      <c r="J101" s="35" t="str">
        <f>CLEAN(TRIM(LOWER('Raw data for Day5'!I101)))</f>
        <v>user62@example.com</v>
      </c>
    </row>
    <row r="102" spans="1:10">
      <c r="A102" s="35" t="str">
        <f>CLEAN(TRIM(LEFT('Raw data for Day5'!A102,3)))</f>
        <v>EMP</v>
      </c>
      <c r="B102" s="38" t="str">
        <f>CLEAN(TRIM(RIGHT('Raw data for Day5'!A102,4)))</f>
        <v>1099</v>
      </c>
      <c r="C102" s="35" t="str">
        <f>CLEAN(TRIM(PROPER('Raw data for Day5'!B102)))</f>
        <v>Eve Adams</v>
      </c>
      <c r="D102" s="37" t="str">
        <f>CLEAN(TRIM(IF('Raw data for Day5'!C102="finance",PROPER('Raw data for Day5'!C102),IF('Raw data for Day5'!C102="hr", UPPER('Raw data for Day5'!C102),IF('Raw data for Day5'!C102="it",UPPER('Raw data for Day5'!C102),IF('Raw data for Day5'!C102="sales",PROPER('Raw data for Day5'!C102),IF('Raw data for Day5'!C102="marketing",PROPER('Raw data for Day5'!C102),"Un-known")))))))</f>
        <v>Marketing</v>
      </c>
      <c r="E102" s="37" t="str">
        <f>CLEAN(TRIM(IF('Raw data for Day5'!D102="germany",PROPER('Raw data for Day5'!D102),IF('Raw data for Day5'!D102="usa",UPPER('Raw data for Day5'!D102),IF('Raw data for Day5'!D102="uk",UPPER('Raw data for Day5'!D102),IF('Raw data for Day5'!D102="india",PROPER('Raw data for Day5'!D102),'Raw data for Day5'!D102))))))</f>
        <v>USA</v>
      </c>
      <c r="F102" s="21">
        <f>'Raw data for Day5'!E102</f>
        <v>70096</v>
      </c>
      <c r="G102" s="22">
        <f>'Raw data for Day5'!F102</f>
        <v>42701</v>
      </c>
      <c r="H102" s="36" t="str">
        <f>CLEAN(TRIM('Raw data for Day5'!G102))</f>
        <v>4</v>
      </c>
      <c r="I102" s="35" t="str">
        <f>CLEAN(TRIM('Raw data for Day5'!H102))</f>
        <v>Male</v>
      </c>
      <c r="J102" s="35" t="str">
        <f>CLEAN(TRIM(LOWER('Raw data for Day5'!I102)))</f>
        <v>user76@example.com</v>
      </c>
    </row>
    <row r="103" spans="1:10">
      <c r="A103" s="35" t="str">
        <f>CLEAN(TRIM(LEFT('Raw data for Day5'!A103,3)))</f>
        <v>EMP</v>
      </c>
      <c r="B103" s="38" t="str">
        <f>CLEAN(TRIM(RIGHT('Raw data for Day5'!A103,4)))</f>
        <v>1100</v>
      </c>
      <c r="C103" s="35" t="str">
        <f>CLEAN(TRIM(PROPER('Raw data for Day5'!B103)))</f>
        <v>Bob Johnson</v>
      </c>
      <c r="D103" s="37" t="str">
        <f>CLEAN(TRIM(IF('Raw data for Day5'!C103="finance",PROPER('Raw data for Day5'!C103),IF('Raw data for Day5'!C103="hr", UPPER('Raw data for Day5'!C103),IF('Raw data for Day5'!C103="it",UPPER('Raw data for Day5'!C103),IF('Raw data for Day5'!C103="sales",PROPER('Raw data for Day5'!C103),IF('Raw data for Day5'!C103="marketing",PROPER('Raw data for Day5'!C103),"Un-known")))))))</f>
        <v>Marketing</v>
      </c>
      <c r="E103" s="37" t="str">
        <f>CLEAN(TRIM(IF('Raw data for Day5'!D103="germany",PROPER('Raw data for Day5'!D103),IF('Raw data for Day5'!D103="usa",UPPER('Raw data for Day5'!D103),IF('Raw data for Day5'!D103="uk",UPPER('Raw data for Day5'!D103),IF('Raw data for Day5'!D103="india",PROPER('Raw data for Day5'!D103),'Raw data for Day5'!D103))))))</f>
        <v>Un-known</v>
      </c>
      <c r="F103" s="21" t="str">
        <f>'Raw data for Day5'!E103</f>
        <v>0</v>
      </c>
      <c r="G103" s="22">
        <f>'Raw data for Day5'!F103</f>
        <v>42708</v>
      </c>
      <c r="H103" s="36" t="str">
        <f>CLEAN(TRIM('Raw data for Day5'!G103))</f>
        <v>2</v>
      </c>
      <c r="I103" s="35" t="str">
        <f>CLEAN(TRIM('Raw data for Day5'!H103))</f>
        <v>Other</v>
      </c>
      <c r="J103" s="35" t="str">
        <f>CLEAN(TRIM(LOWER('Raw data for Day5'!I103)))</f>
        <v>user40@example.com</v>
      </c>
    </row>
    <row r="104" spans="1:10">
      <c r="A104" s="35" t="str">
        <f>CLEAN(TRIM(LEFT('Raw data for Day5'!A104,3)))</f>
        <v>EMP</v>
      </c>
      <c r="B104" s="38" t="str">
        <f>CLEAN(TRIM(RIGHT('Raw data for Day5'!A104,4)))</f>
        <v>1101</v>
      </c>
      <c r="C104" s="35" t="str">
        <f>CLEAN(TRIM(PROPER('Raw data for Day5'!B104)))</f>
        <v>Bob Johnson</v>
      </c>
      <c r="D104" s="37" t="str">
        <f>CLEAN(TRIM(IF('Raw data for Day5'!C104="finance",PROPER('Raw data for Day5'!C104),IF('Raw data for Day5'!C104="hr", UPPER('Raw data for Day5'!C104),IF('Raw data for Day5'!C104="it",UPPER('Raw data for Day5'!C104),IF('Raw data for Day5'!C104="sales",PROPER('Raw data for Day5'!C104),IF('Raw data for Day5'!C104="marketing",PROPER('Raw data for Day5'!C104),"Un-known")))))))</f>
        <v>IT</v>
      </c>
      <c r="E104" s="37" t="str">
        <f>CLEAN(TRIM(IF('Raw data for Day5'!D104="germany",PROPER('Raw data for Day5'!D104),IF('Raw data for Day5'!D104="usa",UPPER('Raw data for Day5'!D104),IF('Raw data for Day5'!D104="uk",UPPER('Raw data for Day5'!D104),IF('Raw data for Day5'!D104="india",PROPER('Raw data for Day5'!D104),'Raw data for Day5'!D104))))))</f>
        <v>Germany</v>
      </c>
      <c r="F104" s="21">
        <f>'Raw data for Day5'!E104</f>
        <v>66503</v>
      </c>
      <c r="G104" s="22">
        <f>'Raw data for Day5'!F104</f>
        <v>42715</v>
      </c>
      <c r="H104" s="36" t="str">
        <f>CLEAN(TRIM('Raw data for Day5'!G104))</f>
        <v>N/A</v>
      </c>
      <c r="I104" s="35" t="str">
        <f>CLEAN(TRIM('Raw data for Day5'!H104))</f>
        <v>Male</v>
      </c>
      <c r="J104" s="35" t="str">
        <f>CLEAN(TRIM(LOWER('Raw data for Day5'!I104)))</f>
        <v>user200@example.com</v>
      </c>
    </row>
    <row r="105" spans="1:10">
      <c r="A105" s="35" t="str">
        <f>CLEAN(TRIM(LEFT('Raw data for Day5'!A105,3)))</f>
        <v>EMP</v>
      </c>
      <c r="B105" s="38" t="str">
        <f>CLEAN(TRIM(RIGHT('Raw data for Day5'!A105,4)))</f>
        <v>1102</v>
      </c>
      <c r="C105" s="35" t="str">
        <f>CLEAN(TRIM(PROPER('Raw data for Day5'!B105)))</f>
        <v>Alice Brown</v>
      </c>
      <c r="D105" s="37" t="str">
        <f>CLEAN(TRIM(IF('Raw data for Day5'!C105="finance",PROPER('Raw data for Day5'!C105),IF('Raw data for Day5'!C105="hr", UPPER('Raw data for Day5'!C105),IF('Raw data for Day5'!C105="it",UPPER('Raw data for Day5'!C105),IF('Raw data for Day5'!C105="sales",PROPER('Raw data for Day5'!C105),IF('Raw data for Day5'!C105="marketing",PROPER('Raw data for Day5'!C105),"Un-known")))))))</f>
        <v>HR</v>
      </c>
      <c r="E105" s="37" t="str">
        <f>CLEAN(TRIM(IF('Raw data for Day5'!D105="germany",PROPER('Raw data for Day5'!D105),IF('Raw data for Day5'!D105="usa",UPPER('Raw data for Day5'!D105),IF('Raw data for Day5'!D105="uk",UPPER('Raw data for Day5'!D105),IF('Raw data for Day5'!D105="india",PROPER('Raw data for Day5'!D105),'Raw data for Day5'!D105))))))</f>
        <v>Germany</v>
      </c>
      <c r="F105" s="21">
        <f>'Raw data for Day5'!E105</f>
        <v>42096</v>
      </c>
      <c r="G105" s="22">
        <f>'Raw data for Day5'!F105</f>
        <v>42722</v>
      </c>
      <c r="H105" s="36" t="str">
        <f>CLEAN(TRIM('Raw data for Day5'!G105))</f>
        <v>N/A</v>
      </c>
      <c r="I105" s="35" t="str">
        <f>CLEAN(TRIM('Raw data for Day5'!H105))</f>
        <v>Female</v>
      </c>
      <c r="J105" s="35" t="str">
        <f>CLEAN(TRIM(LOWER('Raw data for Day5'!I105)))</f>
        <v>user54@example.com</v>
      </c>
    </row>
    <row r="106" spans="1:10">
      <c r="A106" s="35" t="str">
        <f>CLEAN(TRIM(LEFT('Raw data for Day5'!A106,3)))</f>
        <v>EMP</v>
      </c>
      <c r="B106" s="38" t="str">
        <f>CLEAN(TRIM(RIGHT('Raw data for Day5'!A106,4)))</f>
        <v>1103</v>
      </c>
      <c r="C106" s="35" t="str">
        <f>CLEAN(TRIM(PROPER('Raw data for Day5'!B106)))</f>
        <v>Alice Brown</v>
      </c>
      <c r="D106" s="37" t="str">
        <f>CLEAN(TRIM(IF('Raw data for Day5'!C106="finance",PROPER('Raw data for Day5'!C106),IF('Raw data for Day5'!C106="hr", UPPER('Raw data for Day5'!C106),IF('Raw data for Day5'!C106="it",UPPER('Raw data for Day5'!C106),IF('Raw data for Day5'!C106="sales",PROPER('Raw data for Day5'!C106),IF('Raw data for Day5'!C106="marketing",PROPER('Raw data for Day5'!C106),"Un-known")))))))</f>
        <v>Marketing</v>
      </c>
      <c r="E106" s="37" t="str">
        <f>CLEAN(TRIM(IF('Raw data for Day5'!D106="germany",PROPER('Raw data for Day5'!D106),IF('Raw data for Day5'!D106="usa",UPPER('Raw data for Day5'!D106),IF('Raw data for Day5'!D106="uk",UPPER('Raw data for Day5'!D106),IF('Raw data for Day5'!D106="india",PROPER('Raw data for Day5'!D106),'Raw data for Day5'!D106))))))</f>
        <v>Un-known</v>
      </c>
      <c r="F106" s="21">
        <f>'Raw data for Day5'!E106</f>
        <v>79145</v>
      </c>
      <c r="G106" s="22">
        <f>'Raw data for Day5'!F106</f>
        <v>42729</v>
      </c>
      <c r="H106" s="36" t="str">
        <f>CLEAN(TRIM('Raw data for Day5'!G106))</f>
        <v>5</v>
      </c>
      <c r="I106" s="35" t="str">
        <f>CLEAN(TRIM('Raw data for Day5'!H106))</f>
        <v>Other</v>
      </c>
      <c r="J106" s="35" t="str">
        <f>CLEAN(TRIM(LOWER('Raw data for Day5'!I106)))</f>
        <v>user20@example.com</v>
      </c>
    </row>
    <row r="107" spans="1:10">
      <c r="A107" s="35" t="str">
        <f>CLEAN(TRIM(LEFT('Raw data for Day5'!A107,3)))</f>
        <v>EMP</v>
      </c>
      <c r="B107" s="38" t="str">
        <f>CLEAN(TRIM(RIGHT('Raw data for Day5'!A107,4)))</f>
        <v>1104</v>
      </c>
      <c r="C107" s="35" t="str">
        <f>CLEAN(TRIM(PROPER('Raw data for Day5'!B107)))</f>
        <v>Jane Smith</v>
      </c>
      <c r="D107" s="37" t="str">
        <f>CLEAN(TRIM(IF('Raw data for Day5'!C107="finance",PROPER('Raw data for Day5'!C107),IF('Raw data for Day5'!C107="hr", UPPER('Raw data for Day5'!C107),IF('Raw data for Day5'!C107="it",UPPER('Raw data for Day5'!C107),IF('Raw data for Day5'!C107="sales",PROPER('Raw data for Day5'!C107),IF('Raw data for Day5'!C107="marketing",PROPER('Raw data for Day5'!C107),"Un-known")))))))</f>
        <v>Un-known</v>
      </c>
      <c r="E107" s="37" t="str">
        <f>CLEAN(TRIM(IF('Raw data for Day5'!D107="germany",PROPER('Raw data for Day5'!D107),IF('Raw data for Day5'!D107="usa",UPPER('Raw data for Day5'!D107),IF('Raw data for Day5'!D107="uk",UPPER('Raw data for Day5'!D107),IF('Raw data for Day5'!D107="india",PROPER('Raw data for Day5'!D107),'Raw data for Day5'!D107))))))</f>
        <v>Australia</v>
      </c>
      <c r="F107" s="21">
        <f>'Raw data for Day5'!E107</f>
        <v>61556</v>
      </c>
      <c r="G107" s="22">
        <f>'Raw data for Day5'!F107</f>
        <v>42736</v>
      </c>
      <c r="H107" s="36" t="str">
        <f>CLEAN(TRIM('Raw data for Day5'!G107))</f>
        <v>1</v>
      </c>
      <c r="I107" s="35" t="str">
        <f>CLEAN(TRIM('Raw data for Day5'!H107))</f>
        <v>Un-known</v>
      </c>
      <c r="J107" s="35" t="str">
        <f>CLEAN(TRIM(LOWER('Raw data for Day5'!I107)))</f>
        <v>user40@example.com</v>
      </c>
    </row>
    <row r="108" spans="1:10">
      <c r="A108" s="35" t="str">
        <f>CLEAN(TRIM(LEFT('Raw data for Day5'!A108,3)))</f>
        <v>EMP</v>
      </c>
      <c r="B108" s="38" t="str">
        <f>CLEAN(TRIM(RIGHT('Raw data for Day5'!A108,4)))</f>
        <v>1105</v>
      </c>
      <c r="C108" s="35" t="str">
        <f>CLEAN(TRIM(PROPER('Raw data for Day5'!B108)))</f>
        <v>Un-Known</v>
      </c>
      <c r="D108" s="37" t="str">
        <f>CLEAN(TRIM(IF('Raw data for Day5'!C108="finance",PROPER('Raw data for Day5'!C108),IF('Raw data for Day5'!C108="hr", UPPER('Raw data for Day5'!C108),IF('Raw data for Day5'!C108="it",UPPER('Raw data for Day5'!C108),IF('Raw data for Day5'!C108="sales",PROPER('Raw data for Day5'!C108),IF('Raw data for Day5'!C108="marketing",PROPER('Raw data for Day5'!C108),"Un-known")))))))</f>
        <v>HR</v>
      </c>
      <c r="E108" s="37" t="str">
        <f>CLEAN(TRIM(IF('Raw data for Day5'!D108="germany",PROPER('Raw data for Day5'!D108),IF('Raw data for Day5'!D108="usa",UPPER('Raw data for Day5'!D108),IF('Raw data for Day5'!D108="uk",UPPER('Raw data for Day5'!D108),IF('Raw data for Day5'!D108="india",PROPER('Raw data for Day5'!D108),'Raw data for Day5'!D108))))))</f>
        <v>UK</v>
      </c>
      <c r="F108" s="21">
        <f>'Raw data for Day5'!E108</f>
        <v>87963</v>
      </c>
      <c r="G108" s="22">
        <f>'Raw data for Day5'!F108</f>
        <v>42743</v>
      </c>
      <c r="H108" s="36" t="str">
        <f>CLEAN(TRIM('Raw data for Day5'!G108))</f>
        <v>3</v>
      </c>
      <c r="I108" s="35" t="str">
        <f>CLEAN(TRIM('Raw data for Day5'!H108))</f>
        <v>Other</v>
      </c>
      <c r="J108" s="35" t="str">
        <f>CLEAN(TRIM(LOWER('Raw data for Day5'!I108)))</f>
        <v>invalid_email</v>
      </c>
    </row>
    <row r="109" spans="1:10">
      <c r="A109" s="35" t="str">
        <f>CLEAN(TRIM(LEFT('Raw data for Day5'!A109,3)))</f>
        <v>EMP</v>
      </c>
      <c r="B109" s="38" t="str">
        <f>CLEAN(TRIM(RIGHT('Raw data for Day5'!A109,4)))</f>
        <v>1106</v>
      </c>
      <c r="C109" s="35" t="str">
        <f>CLEAN(TRIM(PROPER('Raw data for Day5'!B109)))</f>
        <v>Eve Adams</v>
      </c>
      <c r="D109" s="37" t="str">
        <f>CLEAN(TRIM(IF('Raw data for Day5'!C109="finance",PROPER('Raw data for Day5'!C109),IF('Raw data for Day5'!C109="hr", UPPER('Raw data for Day5'!C109),IF('Raw data for Day5'!C109="it",UPPER('Raw data for Day5'!C109),IF('Raw data for Day5'!C109="sales",PROPER('Raw data for Day5'!C109),IF('Raw data for Day5'!C109="marketing",PROPER('Raw data for Day5'!C109),"Un-known")))))))</f>
        <v>IT</v>
      </c>
      <c r="E109" s="37" t="str">
        <f>CLEAN(TRIM(IF('Raw data for Day5'!D109="germany",PROPER('Raw data for Day5'!D109),IF('Raw data for Day5'!D109="usa",UPPER('Raw data for Day5'!D109),IF('Raw data for Day5'!D109="uk",UPPER('Raw data for Day5'!D109),IF('Raw data for Day5'!D109="india",PROPER('Raw data for Day5'!D109),'Raw data for Day5'!D109))))))</f>
        <v>Un-known</v>
      </c>
      <c r="F109" s="21">
        <f>'Raw data for Day5'!E109</f>
        <v>48325</v>
      </c>
      <c r="G109" s="22">
        <f>'Raw data for Day5'!F109</f>
        <v>42750</v>
      </c>
      <c r="H109" s="36" t="str">
        <f>CLEAN(TRIM('Raw data for Day5'!G109))</f>
        <v>N/A</v>
      </c>
      <c r="I109" s="35" t="str">
        <f>CLEAN(TRIM('Raw data for Day5'!H109))</f>
        <v>Male</v>
      </c>
      <c r="J109" s="35" t="str">
        <f>CLEAN(TRIM(LOWER('Raw data for Day5'!I109)))</f>
        <v>user189@example.com</v>
      </c>
    </row>
    <row r="110" spans="1:10">
      <c r="A110" s="35" t="str">
        <f>CLEAN(TRIM(LEFT('Raw data for Day5'!A110,3)))</f>
        <v>EMP</v>
      </c>
      <c r="B110" s="38" t="str">
        <f>CLEAN(TRIM(RIGHT('Raw data for Day5'!A110,4)))</f>
        <v>1107</v>
      </c>
      <c r="C110" s="35" t="str">
        <f>CLEAN(TRIM(PROPER('Raw data for Day5'!B110)))</f>
        <v>Sam Wilson</v>
      </c>
      <c r="D110" s="37" t="str">
        <f>CLEAN(TRIM(IF('Raw data for Day5'!C110="finance",PROPER('Raw data for Day5'!C110),IF('Raw data for Day5'!C110="hr", UPPER('Raw data for Day5'!C110),IF('Raw data for Day5'!C110="it",UPPER('Raw data for Day5'!C110),IF('Raw data for Day5'!C110="sales",PROPER('Raw data for Day5'!C110),IF('Raw data for Day5'!C110="marketing",PROPER('Raw data for Day5'!C110),"Un-known")))))))</f>
        <v>Marketing</v>
      </c>
      <c r="E110" s="37" t="str">
        <f>CLEAN(TRIM(IF('Raw data for Day5'!D110="germany",PROPER('Raw data for Day5'!D110),IF('Raw data for Day5'!D110="usa",UPPER('Raw data for Day5'!D110),IF('Raw data for Day5'!D110="uk",UPPER('Raw data for Day5'!D110),IF('Raw data for Day5'!D110="india",PROPER('Raw data for Day5'!D110),'Raw data for Day5'!D110))))))</f>
        <v>Australia</v>
      </c>
      <c r="F110" s="21">
        <f>'Raw data for Day5'!E110</f>
        <v>86412</v>
      </c>
      <c r="G110" s="22">
        <f>'Raw data for Day5'!F110</f>
        <v>42757</v>
      </c>
      <c r="H110" s="36" t="str">
        <f>CLEAN(TRIM('Raw data for Day5'!G110))</f>
        <v>2</v>
      </c>
      <c r="I110" s="35" t="str">
        <f>CLEAN(TRIM('Raw data for Day5'!H110))</f>
        <v>Female</v>
      </c>
      <c r="J110" s="35" t="str">
        <f>CLEAN(TRIM(LOWER('Raw data for Day5'!I110)))</f>
        <v>user128@example.com</v>
      </c>
    </row>
    <row r="111" spans="1:10">
      <c r="A111" s="35" t="str">
        <f>CLEAN(TRIM(LEFT('Raw data for Day5'!A111,3)))</f>
        <v>EMP</v>
      </c>
      <c r="B111" s="38" t="str">
        <f>CLEAN(TRIM(RIGHT('Raw data for Day5'!A111,4)))</f>
        <v>1108</v>
      </c>
      <c r="C111" s="35" t="str">
        <f>CLEAN(TRIM(PROPER('Raw data for Day5'!B111)))</f>
        <v>Sam Wilson</v>
      </c>
      <c r="D111" s="37" t="str">
        <f>CLEAN(TRIM(IF('Raw data for Day5'!C111="finance",PROPER('Raw data for Day5'!C111),IF('Raw data for Day5'!C111="hr", UPPER('Raw data for Day5'!C111),IF('Raw data for Day5'!C111="it",UPPER('Raw data for Day5'!C111),IF('Raw data for Day5'!C111="sales",PROPER('Raw data for Day5'!C111),IF('Raw data for Day5'!C111="marketing",PROPER('Raw data for Day5'!C111),"Un-known")))))))</f>
        <v>HR</v>
      </c>
      <c r="E111" s="37" t="str">
        <f>CLEAN(TRIM(IF('Raw data for Day5'!D111="germany",PROPER('Raw data for Day5'!D111),IF('Raw data for Day5'!D111="usa",UPPER('Raw data for Day5'!D111),IF('Raw data for Day5'!D111="uk",UPPER('Raw data for Day5'!D111),IF('Raw data for Day5'!D111="india",PROPER('Raw data for Day5'!D111),'Raw data for Day5'!D111))))))</f>
        <v>Un-known</v>
      </c>
      <c r="F111" s="21">
        <f>'Raw data for Day5'!E111</f>
        <v>66761</v>
      </c>
      <c r="G111" s="22">
        <f>'Raw data for Day5'!F111</f>
        <v>42764</v>
      </c>
      <c r="H111" s="36" t="str">
        <f>CLEAN(TRIM('Raw data for Day5'!G111))</f>
        <v>1</v>
      </c>
      <c r="I111" s="35" t="str">
        <f>CLEAN(TRIM('Raw data for Day5'!H111))</f>
        <v>Un-known</v>
      </c>
      <c r="J111" s="35" t="str">
        <f>CLEAN(TRIM(LOWER('Raw data for Day5'!I111)))</f>
        <v>user93@example.com</v>
      </c>
    </row>
    <row r="112" spans="1:10">
      <c r="A112" s="35" t="str">
        <f>CLEAN(TRIM(LEFT('Raw data for Day5'!A112,3)))</f>
        <v>EMP</v>
      </c>
      <c r="B112" s="38" t="str">
        <f>CLEAN(TRIM(RIGHT('Raw data for Day5'!A112,4)))</f>
        <v>1109</v>
      </c>
      <c r="C112" s="35" t="str">
        <f>CLEAN(TRIM(PROPER('Raw data for Day5'!B112)))</f>
        <v>Jane Smith</v>
      </c>
      <c r="D112" s="37" t="str">
        <f>CLEAN(TRIM(IF('Raw data for Day5'!C112="finance",PROPER('Raw data for Day5'!C112),IF('Raw data for Day5'!C112="hr", UPPER('Raw data for Day5'!C112),IF('Raw data for Day5'!C112="it",UPPER('Raw data for Day5'!C112),IF('Raw data for Day5'!C112="sales",PROPER('Raw data for Day5'!C112),IF('Raw data for Day5'!C112="marketing",PROPER('Raw data for Day5'!C112),"Un-known")))))))</f>
        <v>Un-known</v>
      </c>
      <c r="E112" s="37" t="str">
        <f>CLEAN(TRIM(IF('Raw data for Day5'!D112="germany",PROPER('Raw data for Day5'!D112),IF('Raw data for Day5'!D112="usa",UPPER('Raw data for Day5'!D112),IF('Raw data for Day5'!D112="uk",UPPER('Raw data for Day5'!D112),IF('Raw data for Day5'!D112="india",PROPER('Raw data for Day5'!D112),'Raw data for Day5'!D112))))))</f>
        <v>India</v>
      </c>
      <c r="F112" s="21">
        <f>'Raw data for Day5'!E112</f>
        <v>88850</v>
      </c>
      <c r="G112" s="22">
        <f>'Raw data for Day5'!F112</f>
        <v>42771</v>
      </c>
      <c r="H112" s="36" t="str">
        <f>CLEAN(TRIM('Raw data for Day5'!G112))</f>
        <v>1</v>
      </c>
      <c r="I112" s="35" t="str">
        <f>CLEAN(TRIM('Raw data for Day5'!H112))</f>
        <v>Female</v>
      </c>
      <c r="J112" s="35" t="str">
        <f>CLEAN(TRIM(LOWER('Raw data for Day5'!I112)))</f>
        <v>user174@example.com</v>
      </c>
    </row>
    <row r="113" spans="1:10">
      <c r="A113" s="35" t="str">
        <f>CLEAN(TRIM(LEFT('Raw data for Day5'!A113,3)))</f>
        <v>EMP</v>
      </c>
      <c r="B113" s="38" t="str">
        <f>CLEAN(TRIM(RIGHT('Raw data for Day5'!A113,4)))</f>
        <v>1110</v>
      </c>
      <c r="C113" s="35" t="str">
        <f>CLEAN(TRIM(PROPER('Raw data for Day5'!B113)))</f>
        <v>Chris Lee</v>
      </c>
      <c r="D113" s="37" t="str">
        <f>CLEAN(TRIM(IF('Raw data for Day5'!C113="finance",PROPER('Raw data for Day5'!C113),IF('Raw data for Day5'!C113="hr", UPPER('Raw data for Day5'!C113),IF('Raw data for Day5'!C113="it",UPPER('Raw data for Day5'!C113),IF('Raw data for Day5'!C113="sales",PROPER('Raw data for Day5'!C113),IF('Raw data for Day5'!C113="marketing",PROPER('Raw data for Day5'!C113),"Un-known")))))))</f>
        <v>Sales</v>
      </c>
      <c r="E113" s="37" t="str">
        <f>CLEAN(TRIM(IF('Raw data for Day5'!D113="germany",PROPER('Raw data for Day5'!D113),IF('Raw data for Day5'!D113="usa",UPPER('Raw data for Day5'!D113),IF('Raw data for Day5'!D113="uk",UPPER('Raw data for Day5'!D113),IF('Raw data for Day5'!D113="india",PROPER('Raw data for Day5'!D113),'Raw data for Day5'!D113))))))</f>
        <v>India</v>
      </c>
      <c r="F113" s="21">
        <f>'Raw data for Day5'!E113</f>
        <v>31293</v>
      </c>
      <c r="G113" s="22" t="str">
        <f>'Raw data for Day5'!F113</f>
        <v>Un-known</v>
      </c>
      <c r="H113" s="36" t="str">
        <f>CLEAN(TRIM('Raw data for Day5'!G113))</f>
        <v>2</v>
      </c>
      <c r="I113" s="35" t="str">
        <f>CLEAN(TRIM('Raw data for Day5'!H113))</f>
        <v>Female</v>
      </c>
      <c r="J113" s="35" t="str">
        <f>CLEAN(TRIM(LOWER('Raw data for Day5'!I113)))</f>
        <v>user44@example.com</v>
      </c>
    </row>
    <row r="114" spans="1:10">
      <c r="A114" s="35" t="str">
        <f>CLEAN(TRIM(LEFT('Raw data for Day5'!A114,3)))</f>
        <v>EMP</v>
      </c>
      <c r="B114" s="38" t="str">
        <f>CLEAN(TRIM(RIGHT('Raw data for Day5'!A114,4)))</f>
        <v>1111</v>
      </c>
      <c r="C114" s="35" t="str">
        <f>CLEAN(TRIM(PROPER('Raw data for Day5'!B114)))</f>
        <v>Chris Lee</v>
      </c>
      <c r="D114" s="37" t="str">
        <f>CLEAN(TRIM(IF('Raw data for Day5'!C114="finance",PROPER('Raw data for Day5'!C114),IF('Raw data for Day5'!C114="hr", UPPER('Raw data for Day5'!C114),IF('Raw data for Day5'!C114="it",UPPER('Raw data for Day5'!C114),IF('Raw data for Day5'!C114="sales",PROPER('Raw data for Day5'!C114),IF('Raw data for Day5'!C114="marketing",PROPER('Raw data for Day5'!C114),"Un-known")))))))</f>
        <v>IT</v>
      </c>
      <c r="E114" s="37" t="str">
        <f>CLEAN(TRIM(IF('Raw data for Day5'!D114="germany",PROPER('Raw data for Day5'!D114),IF('Raw data for Day5'!D114="usa",UPPER('Raw data for Day5'!D114),IF('Raw data for Day5'!D114="uk",UPPER('Raw data for Day5'!D114),IF('Raw data for Day5'!D114="india",PROPER('Raw data for Day5'!D114),'Raw data for Day5'!D114))))))</f>
        <v>USA</v>
      </c>
      <c r="F114" s="21">
        <f>'Raw data for Day5'!E114</f>
        <v>34306</v>
      </c>
      <c r="G114" s="22">
        <f>'Raw data for Day5'!F114</f>
        <v>42785</v>
      </c>
      <c r="H114" s="36" t="str">
        <f>CLEAN(TRIM('Raw data for Day5'!G114))</f>
        <v>5</v>
      </c>
      <c r="I114" s="35" t="str">
        <f>CLEAN(TRIM('Raw data for Day5'!H114))</f>
        <v>Female</v>
      </c>
      <c r="J114" s="35" t="str">
        <f>CLEAN(TRIM(LOWER('Raw data for Day5'!I114)))</f>
        <v>user192@example.com</v>
      </c>
    </row>
    <row r="115" spans="1:10">
      <c r="A115" s="35" t="str">
        <f>CLEAN(TRIM(LEFT('Raw data for Day5'!A115,3)))</f>
        <v>EMP</v>
      </c>
      <c r="B115" s="38" t="str">
        <f>CLEAN(TRIM(RIGHT('Raw data for Day5'!A115,4)))</f>
        <v>1112</v>
      </c>
      <c r="C115" s="35" t="str">
        <f>CLEAN(TRIM(PROPER('Raw data for Day5'!B115)))</f>
        <v>Eve Adams</v>
      </c>
      <c r="D115" s="37" t="str">
        <f>CLEAN(TRIM(IF('Raw data for Day5'!C115="finance",PROPER('Raw data for Day5'!C115),IF('Raw data for Day5'!C115="hr", UPPER('Raw data for Day5'!C115),IF('Raw data for Day5'!C115="it",UPPER('Raw data for Day5'!C115),IF('Raw data for Day5'!C115="sales",PROPER('Raw data for Day5'!C115),IF('Raw data for Day5'!C115="marketing",PROPER('Raw data for Day5'!C115),"Un-known")))))))</f>
        <v>Finance</v>
      </c>
      <c r="E115" s="37" t="str">
        <f>CLEAN(TRIM(IF('Raw data for Day5'!D115="germany",PROPER('Raw data for Day5'!D115),IF('Raw data for Day5'!D115="usa",UPPER('Raw data for Day5'!D115),IF('Raw data for Day5'!D115="uk",UPPER('Raw data for Day5'!D115),IF('Raw data for Day5'!D115="india",PROPER('Raw data for Day5'!D115),'Raw data for Day5'!D115))))))</f>
        <v>India</v>
      </c>
      <c r="F115" s="21">
        <f>'Raw data for Day5'!E115</f>
        <v>78330</v>
      </c>
      <c r="G115" s="22">
        <f>'Raw data for Day5'!F115</f>
        <v>42792</v>
      </c>
      <c r="H115" s="36" t="str">
        <f>CLEAN(TRIM('Raw data for Day5'!G115))</f>
        <v>N/A</v>
      </c>
      <c r="I115" s="35" t="str">
        <f>CLEAN(TRIM('Raw data for Day5'!H115))</f>
        <v>Other</v>
      </c>
      <c r="J115" s="35" t="str">
        <f>CLEAN(TRIM(LOWER('Raw data for Day5'!I115)))</f>
        <v>user76@example.com</v>
      </c>
    </row>
    <row r="116" spans="1:10">
      <c r="A116" s="35" t="str">
        <f>CLEAN(TRIM(LEFT('Raw data for Day5'!A116,3)))</f>
        <v>EMP</v>
      </c>
      <c r="B116" s="38" t="str">
        <f>CLEAN(TRIM(RIGHT('Raw data for Day5'!A116,4)))</f>
        <v>1113</v>
      </c>
      <c r="C116" s="35" t="str">
        <f>CLEAN(TRIM(PROPER('Raw data for Day5'!B116)))</f>
        <v>Alice Brown</v>
      </c>
      <c r="D116" s="37" t="str">
        <f>CLEAN(TRIM(IF('Raw data for Day5'!C116="finance",PROPER('Raw data for Day5'!C116),IF('Raw data for Day5'!C116="hr", UPPER('Raw data for Day5'!C116),IF('Raw data for Day5'!C116="it",UPPER('Raw data for Day5'!C116),IF('Raw data for Day5'!C116="sales",PROPER('Raw data for Day5'!C116),IF('Raw data for Day5'!C116="marketing",PROPER('Raw data for Day5'!C116),"Un-known")))))))</f>
        <v>IT</v>
      </c>
      <c r="E116" s="37" t="str">
        <f>CLEAN(TRIM(IF('Raw data for Day5'!D116="germany",PROPER('Raw data for Day5'!D116),IF('Raw data for Day5'!D116="usa",UPPER('Raw data for Day5'!D116),IF('Raw data for Day5'!D116="uk",UPPER('Raw data for Day5'!D116),IF('Raw data for Day5'!D116="india",PROPER('Raw data for Day5'!D116),'Raw data for Day5'!D116))))))</f>
        <v>USA</v>
      </c>
      <c r="F116" s="21">
        <f>'Raw data for Day5'!E116</f>
        <v>47653</v>
      </c>
      <c r="G116" s="22">
        <f>'Raw data for Day5'!F116</f>
        <v>42799</v>
      </c>
      <c r="H116" s="36" t="str">
        <f>CLEAN(TRIM('Raw data for Day5'!G116))</f>
        <v>1</v>
      </c>
      <c r="I116" s="35" t="str">
        <f>CLEAN(TRIM('Raw data for Day5'!H116))</f>
        <v>Male</v>
      </c>
      <c r="J116" s="35" t="str">
        <f>CLEAN(TRIM(LOWER('Raw data for Day5'!I116)))</f>
        <v>user82@example.com</v>
      </c>
    </row>
    <row r="117" spans="1:10">
      <c r="A117" s="35" t="str">
        <f>CLEAN(TRIM(LEFT('Raw data for Day5'!A117,3)))</f>
        <v>EMP</v>
      </c>
      <c r="B117" s="38" t="str">
        <f>CLEAN(TRIM(RIGHT('Raw data for Day5'!A117,4)))</f>
        <v>1114</v>
      </c>
      <c r="C117" s="35" t="str">
        <f>CLEAN(TRIM(PROPER('Raw data for Day5'!B117)))</f>
        <v>Eve Adams</v>
      </c>
      <c r="D117" s="37" t="str">
        <f>CLEAN(TRIM(IF('Raw data for Day5'!C117="finance",PROPER('Raw data for Day5'!C117),IF('Raw data for Day5'!C117="hr", UPPER('Raw data for Day5'!C117),IF('Raw data for Day5'!C117="it",UPPER('Raw data for Day5'!C117),IF('Raw data for Day5'!C117="sales",PROPER('Raw data for Day5'!C117),IF('Raw data for Day5'!C117="marketing",PROPER('Raw data for Day5'!C117),"Un-known")))))))</f>
        <v>Marketing</v>
      </c>
      <c r="E117" s="37" t="str">
        <f>CLEAN(TRIM(IF('Raw data for Day5'!D117="germany",PROPER('Raw data for Day5'!D117),IF('Raw data for Day5'!D117="usa",UPPER('Raw data for Day5'!D117),IF('Raw data for Day5'!D117="uk",UPPER('Raw data for Day5'!D117),IF('Raw data for Day5'!D117="india",PROPER('Raw data for Day5'!D117),'Raw data for Day5'!D117))))))</f>
        <v>UK</v>
      </c>
      <c r="F117" s="21">
        <f>'Raw data for Day5'!E117</f>
        <v>44627</v>
      </c>
      <c r="G117" s="22">
        <f>'Raw data for Day5'!F117</f>
        <v>42806</v>
      </c>
      <c r="H117" s="36" t="str">
        <f>CLEAN(TRIM('Raw data for Day5'!G117))</f>
        <v>4</v>
      </c>
      <c r="I117" s="35" t="str">
        <f>CLEAN(TRIM('Raw data for Day5'!H117))</f>
        <v>Un-known</v>
      </c>
      <c r="J117" s="35" t="str">
        <f>CLEAN(TRIM(LOWER('Raw data for Day5'!I117)))</f>
        <v>user97@example.com</v>
      </c>
    </row>
    <row r="118" spans="1:10">
      <c r="A118" s="35" t="str">
        <f>CLEAN(TRIM(LEFT('Raw data for Day5'!A118,3)))</f>
        <v>EMP</v>
      </c>
      <c r="B118" s="38" t="str">
        <f>CLEAN(TRIM(RIGHT('Raw data for Day5'!A118,4)))</f>
        <v>1115</v>
      </c>
      <c r="C118" s="35" t="str">
        <f>CLEAN(TRIM(PROPER('Raw data for Day5'!B118)))</f>
        <v>Bob Johnson</v>
      </c>
      <c r="D118" s="37" t="str">
        <f>CLEAN(TRIM(IF('Raw data for Day5'!C118="finance",PROPER('Raw data for Day5'!C118),IF('Raw data for Day5'!C118="hr", UPPER('Raw data for Day5'!C118),IF('Raw data for Day5'!C118="it",UPPER('Raw data for Day5'!C118),IF('Raw data for Day5'!C118="sales",PROPER('Raw data for Day5'!C118),IF('Raw data for Day5'!C118="marketing",PROPER('Raw data for Day5'!C118),"Un-known")))))))</f>
        <v>HR</v>
      </c>
      <c r="E118" s="37" t="str">
        <f>CLEAN(TRIM(IF('Raw data for Day5'!D118="germany",PROPER('Raw data for Day5'!D118),IF('Raw data for Day5'!D118="usa",UPPER('Raw data for Day5'!D118),IF('Raw data for Day5'!D118="uk",UPPER('Raw data for Day5'!D118),IF('Raw data for Day5'!D118="india",PROPER('Raw data for Day5'!D118),'Raw data for Day5'!D118))))))</f>
        <v>Germany</v>
      </c>
      <c r="F118" s="21">
        <f>'Raw data for Day5'!E118</f>
        <v>92343</v>
      </c>
      <c r="G118" s="22">
        <f>'Raw data for Day5'!F118</f>
        <v>42813</v>
      </c>
      <c r="H118" s="36" t="str">
        <f>CLEAN(TRIM('Raw data for Day5'!G118))</f>
        <v>4</v>
      </c>
      <c r="I118" s="35" t="str">
        <f>CLEAN(TRIM('Raw data for Day5'!H118))</f>
        <v>Female</v>
      </c>
      <c r="J118" s="35" t="str">
        <f>CLEAN(TRIM(LOWER('Raw data for Day5'!I118)))</f>
        <v>user149@example.com</v>
      </c>
    </row>
    <row r="119" spans="1:10">
      <c r="A119" s="35" t="str">
        <f>CLEAN(TRIM(LEFT('Raw data for Day5'!A119,3)))</f>
        <v>EMP</v>
      </c>
      <c r="B119" s="38" t="str">
        <f>CLEAN(TRIM(RIGHT('Raw data for Day5'!A119,4)))</f>
        <v>1116</v>
      </c>
      <c r="C119" s="35" t="str">
        <f>CLEAN(TRIM(PROPER('Raw data for Day5'!B119)))</f>
        <v>Bob Johnson</v>
      </c>
      <c r="D119" s="37" t="str">
        <f>CLEAN(TRIM(IF('Raw data for Day5'!C119="finance",PROPER('Raw data for Day5'!C119),IF('Raw data for Day5'!C119="hr", UPPER('Raw data for Day5'!C119),IF('Raw data for Day5'!C119="it",UPPER('Raw data for Day5'!C119),IF('Raw data for Day5'!C119="sales",PROPER('Raw data for Day5'!C119),IF('Raw data for Day5'!C119="marketing",PROPER('Raw data for Day5'!C119),"Un-known")))))))</f>
        <v>Marketing</v>
      </c>
      <c r="E119" s="37" t="str">
        <f>CLEAN(TRIM(IF('Raw data for Day5'!D119="germany",PROPER('Raw data for Day5'!D119),IF('Raw data for Day5'!D119="usa",UPPER('Raw data for Day5'!D119),IF('Raw data for Day5'!D119="uk",UPPER('Raw data for Day5'!D119),IF('Raw data for Day5'!D119="india",PROPER('Raw data for Day5'!D119),'Raw data for Day5'!D119))))))</f>
        <v>Australia</v>
      </c>
      <c r="F119" s="21">
        <f>'Raw data for Day5'!E119</f>
        <v>38837</v>
      </c>
      <c r="G119" s="22">
        <f>'Raw data for Day5'!F119</f>
        <v>42820</v>
      </c>
      <c r="H119" s="36" t="str">
        <f>CLEAN(TRIM('Raw data for Day5'!G119))</f>
        <v>5</v>
      </c>
      <c r="I119" s="35" t="str">
        <f>CLEAN(TRIM('Raw data for Day5'!H119))</f>
        <v>Female</v>
      </c>
      <c r="J119" s="35" t="str">
        <f>CLEAN(TRIM(LOWER('Raw data for Day5'!I119)))</f>
        <v>user192@example.com</v>
      </c>
    </row>
    <row r="120" spans="1:10">
      <c r="A120" s="35" t="str">
        <f>CLEAN(TRIM(LEFT('Raw data for Day5'!A120,3)))</f>
        <v>EMP</v>
      </c>
      <c r="B120" s="38" t="str">
        <f>CLEAN(TRIM(RIGHT('Raw data for Day5'!A120,4)))</f>
        <v>1117</v>
      </c>
      <c r="C120" s="35" t="str">
        <f>CLEAN(TRIM(PROPER('Raw data for Day5'!B120)))</f>
        <v>Bob Johnson</v>
      </c>
      <c r="D120" s="37" t="str">
        <f>CLEAN(TRIM(IF('Raw data for Day5'!C120="finance",PROPER('Raw data for Day5'!C120),IF('Raw data for Day5'!C120="hr", UPPER('Raw data for Day5'!C120),IF('Raw data for Day5'!C120="it",UPPER('Raw data for Day5'!C120),IF('Raw data for Day5'!C120="sales",PROPER('Raw data for Day5'!C120),IF('Raw data for Day5'!C120="marketing",PROPER('Raw data for Day5'!C120),"Un-known")))))))</f>
        <v>Marketing</v>
      </c>
      <c r="E120" s="37" t="str">
        <f>CLEAN(TRIM(IF('Raw data for Day5'!D120="germany",PROPER('Raw data for Day5'!D120),IF('Raw data for Day5'!D120="usa",UPPER('Raw data for Day5'!D120),IF('Raw data for Day5'!D120="uk",UPPER('Raw data for Day5'!D120),IF('Raw data for Day5'!D120="india",PROPER('Raw data for Day5'!D120),'Raw data for Day5'!D120))))))</f>
        <v>Un-known</v>
      </c>
      <c r="F120" s="21">
        <f>'Raw data for Day5'!E120</f>
        <v>73483</v>
      </c>
      <c r="G120" s="22">
        <f>'Raw data for Day5'!F120</f>
        <v>42827</v>
      </c>
      <c r="H120" s="36" t="str">
        <f>CLEAN(TRIM('Raw data for Day5'!G120))</f>
        <v>1</v>
      </c>
      <c r="I120" s="35" t="str">
        <f>CLEAN(TRIM('Raw data for Day5'!H120))</f>
        <v>Un-known</v>
      </c>
      <c r="J120" s="35" t="str">
        <f>CLEAN(TRIM(LOWER('Raw data for Day5'!I120)))</f>
        <v>user137@example.com</v>
      </c>
    </row>
    <row r="121" spans="1:10">
      <c r="A121" s="35" t="str">
        <f>CLEAN(TRIM(LEFT('Raw data for Day5'!A121,3)))</f>
        <v>EMP</v>
      </c>
      <c r="B121" s="38" t="str">
        <f>CLEAN(TRIM(RIGHT('Raw data for Day5'!A121,4)))</f>
        <v>1118</v>
      </c>
      <c r="C121" s="35" t="str">
        <f>CLEAN(TRIM(PROPER('Raw data for Day5'!B121)))</f>
        <v>Chris Lee</v>
      </c>
      <c r="D121" s="37" t="str">
        <f>CLEAN(TRIM(IF('Raw data for Day5'!C121="finance",PROPER('Raw data for Day5'!C121),IF('Raw data for Day5'!C121="hr", UPPER('Raw data for Day5'!C121),IF('Raw data for Day5'!C121="it",UPPER('Raw data for Day5'!C121),IF('Raw data for Day5'!C121="sales",PROPER('Raw data for Day5'!C121),IF('Raw data for Day5'!C121="marketing",PROPER('Raw data for Day5'!C121),"Un-known")))))))</f>
        <v>Sales</v>
      </c>
      <c r="E121" s="37" t="str">
        <f>CLEAN(TRIM(IF('Raw data for Day5'!D121="germany",PROPER('Raw data for Day5'!D121),IF('Raw data for Day5'!D121="usa",UPPER('Raw data for Day5'!D121),IF('Raw data for Day5'!D121="uk",UPPER('Raw data for Day5'!D121),IF('Raw data for Day5'!D121="india",PROPER('Raw data for Day5'!D121),'Raw data for Day5'!D121))))))</f>
        <v>India</v>
      </c>
      <c r="F121" s="21">
        <f>'Raw data for Day5'!E121</f>
        <v>95032</v>
      </c>
      <c r="G121" s="22">
        <f>'Raw data for Day5'!F121</f>
        <v>42834</v>
      </c>
      <c r="H121" s="36" t="str">
        <f>CLEAN(TRIM('Raw data for Day5'!G121))</f>
        <v>3</v>
      </c>
      <c r="I121" s="35" t="str">
        <f>CLEAN(TRIM('Raw data for Day5'!H121))</f>
        <v>Un-known</v>
      </c>
      <c r="J121" s="35" t="str">
        <f>CLEAN(TRIM(LOWER('Raw data for Day5'!I121)))</f>
        <v>user23@example.com</v>
      </c>
    </row>
    <row r="122" spans="1:10">
      <c r="A122" s="35" t="str">
        <f>CLEAN(TRIM(LEFT('Raw data for Day5'!A122,3)))</f>
        <v>EMP</v>
      </c>
      <c r="B122" s="38" t="str">
        <f>CLEAN(TRIM(RIGHT('Raw data for Day5'!A122,4)))</f>
        <v>1119</v>
      </c>
      <c r="C122" s="35" t="str">
        <f>CLEAN(TRIM(PROPER('Raw data for Day5'!B122)))</f>
        <v>Eve Adams</v>
      </c>
      <c r="D122" s="37" t="str">
        <f>CLEAN(TRIM(IF('Raw data for Day5'!C122="finance",PROPER('Raw data for Day5'!C122),IF('Raw data for Day5'!C122="hr", UPPER('Raw data for Day5'!C122),IF('Raw data for Day5'!C122="it",UPPER('Raw data for Day5'!C122),IF('Raw data for Day5'!C122="sales",PROPER('Raw data for Day5'!C122),IF('Raw data for Day5'!C122="marketing",PROPER('Raw data for Day5'!C122),"Un-known")))))))</f>
        <v>Sales</v>
      </c>
      <c r="E122" s="37" t="str">
        <f>CLEAN(TRIM(IF('Raw data for Day5'!D122="germany",PROPER('Raw data for Day5'!D122),IF('Raw data for Day5'!D122="usa",UPPER('Raw data for Day5'!D122),IF('Raw data for Day5'!D122="uk",UPPER('Raw data for Day5'!D122),IF('Raw data for Day5'!D122="india",PROPER('Raw data for Day5'!D122),'Raw data for Day5'!D122))))))</f>
        <v>Australia</v>
      </c>
      <c r="F122" s="21">
        <f>'Raw data for Day5'!E122</f>
        <v>44358</v>
      </c>
      <c r="G122" s="22">
        <f>'Raw data for Day5'!F122</f>
        <v>42841</v>
      </c>
      <c r="H122" s="36" t="str">
        <f>CLEAN(TRIM('Raw data for Day5'!G122))</f>
        <v>N/A</v>
      </c>
      <c r="I122" s="35" t="str">
        <f>CLEAN(TRIM('Raw data for Day5'!H122))</f>
        <v>Female</v>
      </c>
      <c r="J122" s="35" t="str">
        <f>CLEAN(TRIM(LOWER('Raw data for Day5'!I122)))</f>
        <v>user200@example.com</v>
      </c>
    </row>
    <row r="123" spans="1:10">
      <c r="A123" s="35" t="str">
        <f>CLEAN(TRIM(LEFT('Raw data for Day5'!A123,3)))</f>
        <v>EMP</v>
      </c>
      <c r="B123" s="38" t="str">
        <f>CLEAN(TRIM(RIGHT('Raw data for Day5'!A123,4)))</f>
        <v>1120</v>
      </c>
      <c r="C123" s="35" t="str">
        <f>CLEAN(TRIM(PROPER('Raw data for Day5'!B123)))</f>
        <v>Un-Known</v>
      </c>
      <c r="D123" s="37" t="str">
        <f>CLEAN(TRIM(IF('Raw data for Day5'!C123="finance",PROPER('Raw data for Day5'!C123),IF('Raw data for Day5'!C123="hr", UPPER('Raw data for Day5'!C123),IF('Raw data for Day5'!C123="it",UPPER('Raw data for Day5'!C123),IF('Raw data for Day5'!C123="sales",PROPER('Raw data for Day5'!C123),IF('Raw data for Day5'!C123="marketing",PROPER('Raw data for Day5'!C123),"Un-known")))))))</f>
        <v>IT</v>
      </c>
      <c r="E123" s="37" t="str">
        <f>CLEAN(TRIM(IF('Raw data for Day5'!D123="germany",PROPER('Raw data for Day5'!D123),IF('Raw data for Day5'!D123="usa",UPPER('Raw data for Day5'!D123),IF('Raw data for Day5'!D123="uk",UPPER('Raw data for Day5'!D123),IF('Raw data for Day5'!D123="india",PROPER('Raw data for Day5'!D123),'Raw data for Day5'!D123))))))</f>
        <v>USA</v>
      </c>
      <c r="F123" s="21" t="str">
        <f>'Raw data for Day5'!E123</f>
        <v>0</v>
      </c>
      <c r="G123" s="22" t="str">
        <f>'Raw data for Day5'!F123</f>
        <v>Un-known</v>
      </c>
      <c r="H123" s="36" t="str">
        <f>CLEAN(TRIM('Raw data for Day5'!G123))</f>
        <v>5</v>
      </c>
      <c r="I123" s="35" t="str">
        <f>CLEAN(TRIM('Raw data for Day5'!H123))</f>
        <v>Unknown</v>
      </c>
      <c r="J123" s="35" t="str">
        <f>CLEAN(TRIM(LOWER('Raw data for Day5'!I123)))</f>
        <v>user101@example.com</v>
      </c>
    </row>
    <row r="124" spans="1:10">
      <c r="A124" s="35" t="str">
        <f>CLEAN(TRIM(LEFT('Raw data for Day5'!A124,3)))</f>
        <v>EMP</v>
      </c>
      <c r="B124" s="38" t="str">
        <f>CLEAN(TRIM(RIGHT('Raw data for Day5'!A124,4)))</f>
        <v>1121</v>
      </c>
      <c r="C124" s="35" t="str">
        <f>CLEAN(TRIM(PROPER('Raw data for Day5'!B124)))</f>
        <v>Chris Lee</v>
      </c>
      <c r="D124" s="37" t="str">
        <f>CLEAN(TRIM(IF('Raw data for Day5'!C124="finance",PROPER('Raw data for Day5'!C124),IF('Raw data for Day5'!C124="hr", UPPER('Raw data for Day5'!C124),IF('Raw data for Day5'!C124="it",UPPER('Raw data for Day5'!C124),IF('Raw data for Day5'!C124="sales",PROPER('Raw data for Day5'!C124),IF('Raw data for Day5'!C124="marketing",PROPER('Raw data for Day5'!C124),"Un-known")))))))</f>
        <v>Sales</v>
      </c>
      <c r="E124" s="37" t="str">
        <f>CLEAN(TRIM(IF('Raw data for Day5'!D124="germany",PROPER('Raw data for Day5'!D124),IF('Raw data for Day5'!D124="usa",UPPER('Raw data for Day5'!D124),IF('Raw data for Day5'!D124="uk",UPPER('Raw data for Day5'!D124),IF('Raw data for Day5'!D124="india",PROPER('Raw data for Day5'!D124),'Raw data for Day5'!D124))))))</f>
        <v>USA</v>
      </c>
      <c r="F124" s="21">
        <f>'Raw data for Day5'!E124</f>
        <v>45676</v>
      </c>
      <c r="G124" s="22">
        <f>'Raw data for Day5'!F124</f>
        <v>42855</v>
      </c>
      <c r="H124" s="36" t="str">
        <f>CLEAN(TRIM('Raw data for Day5'!G124))</f>
        <v>2</v>
      </c>
      <c r="I124" s="35" t="str">
        <f>CLEAN(TRIM('Raw data for Day5'!H124))</f>
        <v>Un-known</v>
      </c>
      <c r="J124" s="35" t="str">
        <f>CLEAN(TRIM(LOWER('Raw data for Day5'!I124)))</f>
        <v>user132@example.com</v>
      </c>
    </row>
    <row r="125" spans="1:10">
      <c r="A125" s="35" t="str">
        <f>CLEAN(TRIM(LEFT('Raw data for Day5'!A125,3)))</f>
        <v>EMP</v>
      </c>
      <c r="B125" s="38" t="str">
        <f>CLEAN(TRIM(RIGHT('Raw data for Day5'!A125,4)))</f>
        <v>1122</v>
      </c>
      <c r="C125" s="35" t="str">
        <f>CLEAN(TRIM(PROPER('Raw data for Day5'!B125)))</f>
        <v>Bob Johnson</v>
      </c>
      <c r="D125" s="37" t="str">
        <f>CLEAN(TRIM(IF('Raw data for Day5'!C125="finance",PROPER('Raw data for Day5'!C125),IF('Raw data for Day5'!C125="hr", UPPER('Raw data for Day5'!C125),IF('Raw data for Day5'!C125="it",UPPER('Raw data for Day5'!C125),IF('Raw data for Day5'!C125="sales",PROPER('Raw data for Day5'!C125),IF('Raw data for Day5'!C125="marketing",PROPER('Raw data for Day5'!C125),"Un-known")))))))</f>
        <v>Sales</v>
      </c>
      <c r="E125" s="37" t="str">
        <f>CLEAN(TRIM(IF('Raw data for Day5'!D125="germany",PROPER('Raw data for Day5'!D125),IF('Raw data for Day5'!D125="usa",UPPER('Raw data for Day5'!D125),IF('Raw data for Day5'!D125="uk",UPPER('Raw data for Day5'!D125),IF('Raw data for Day5'!D125="india",PROPER('Raw data for Day5'!D125),'Raw data for Day5'!D125))))))</f>
        <v>Germany</v>
      </c>
      <c r="F125" s="21">
        <f>'Raw data for Day5'!E125</f>
        <v>52036</v>
      </c>
      <c r="G125" s="22">
        <f>'Raw data for Day5'!F125</f>
        <v>42862</v>
      </c>
      <c r="H125" s="36" t="str">
        <f>CLEAN(TRIM('Raw data for Day5'!G125))</f>
        <v>3</v>
      </c>
      <c r="I125" s="35" t="str">
        <f>CLEAN(TRIM('Raw data for Day5'!H125))</f>
        <v>Male</v>
      </c>
      <c r="J125" s="35" t="str">
        <f>CLEAN(TRIM(LOWER('Raw data for Day5'!I125)))</f>
        <v>user171@example.com</v>
      </c>
    </row>
    <row r="126" spans="1:10">
      <c r="A126" s="35" t="str">
        <f>CLEAN(TRIM(LEFT('Raw data for Day5'!A126,3)))</f>
        <v>EMP</v>
      </c>
      <c r="B126" s="38" t="str">
        <f>CLEAN(TRIM(RIGHT('Raw data for Day5'!A126,4)))</f>
        <v>1123</v>
      </c>
      <c r="C126" s="35" t="str">
        <f>CLEAN(TRIM(PROPER('Raw data for Day5'!B126)))</f>
        <v>Jane Smith</v>
      </c>
      <c r="D126" s="37" t="str">
        <f>CLEAN(TRIM(IF('Raw data for Day5'!C126="finance",PROPER('Raw data for Day5'!C126),IF('Raw data for Day5'!C126="hr", UPPER('Raw data for Day5'!C126),IF('Raw data for Day5'!C126="it",UPPER('Raw data for Day5'!C126),IF('Raw data for Day5'!C126="sales",PROPER('Raw data for Day5'!C126),IF('Raw data for Day5'!C126="marketing",PROPER('Raw data for Day5'!C126),"Un-known")))))))</f>
        <v>Un-known</v>
      </c>
      <c r="E126" s="37" t="str">
        <f>CLEAN(TRIM(IF('Raw data for Day5'!D126="germany",PROPER('Raw data for Day5'!D126),IF('Raw data for Day5'!D126="usa",UPPER('Raw data for Day5'!D126),IF('Raw data for Day5'!D126="uk",UPPER('Raw data for Day5'!D126),IF('Raw data for Day5'!D126="india",PROPER('Raw data for Day5'!D126),'Raw data for Day5'!D126))))))</f>
        <v>Germany</v>
      </c>
      <c r="F126" s="21">
        <f>'Raw data for Day5'!E126</f>
        <v>30357</v>
      </c>
      <c r="G126" s="22">
        <f>'Raw data for Day5'!F126</f>
        <v>42869</v>
      </c>
      <c r="H126" s="36" t="str">
        <f>CLEAN(TRIM('Raw data for Day5'!G126))</f>
        <v>5</v>
      </c>
      <c r="I126" s="35" t="str">
        <f>CLEAN(TRIM('Raw data for Day5'!H126))</f>
        <v>Male</v>
      </c>
      <c r="J126" s="35" t="str">
        <f>CLEAN(TRIM(LOWER('Raw data for Day5'!I126)))</f>
        <v>user145@example.com</v>
      </c>
    </row>
    <row r="127" spans="1:10">
      <c r="A127" s="35" t="str">
        <f>CLEAN(TRIM(LEFT('Raw data for Day5'!A127,3)))</f>
        <v>EMP</v>
      </c>
      <c r="B127" s="38" t="str">
        <f>CLEAN(TRIM(RIGHT('Raw data for Day5'!A127,4)))</f>
        <v>1124</v>
      </c>
      <c r="C127" s="35" t="str">
        <f>CLEAN(TRIM(PROPER('Raw data for Day5'!B127)))</f>
        <v>John Doe</v>
      </c>
      <c r="D127" s="37" t="str">
        <f>CLEAN(TRIM(IF('Raw data for Day5'!C127="finance",PROPER('Raw data for Day5'!C127),IF('Raw data for Day5'!C127="hr", UPPER('Raw data for Day5'!C127),IF('Raw data for Day5'!C127="it",UPPER('Raw data for Day5'!C127),IF('Raw data for Day5'!C127="sales",PROPER('Raw data for Day5'!C127),IF('Raw data for Day5'!C127="marketing",PROPER('Raw data for Day5'!C127),"Un-known")))))))</f>
        <v>IT</v>
      </c>
      <c r="E127" s="37" t="str">
        <f>CLEAN(TRIM(IF('Raw data for Day5'!D127="germany",PROPER('Raw data for Day5'!D127),IF('Raw data for Day5'!D127="usa",UPPER('Raw data for Day5'!D127),IF('Raw data for Day5'!D127="uk",UPPER('Raw data for Day5'!D127),IF('Raw data for Day5'!D127="india",PROPER('Raw data for Day5'!D127),'Raw data for Day5'!D127))))))</f>
        <v>Un-known</v>
      </c>
      <c r="F127" s="21">
        <f>'Raw data for Day5'!E127</f>
        <v>60034</v>
      </c>
      <c r="G127" s="22">
        <f>'Raw data for Day5'!F127</f>
        <v>42876</v>
      </c>
      <c r="H127" s="36" t="str">
        <f>CLEAN(TRIM('Raw data for Day5'!G127))</f>
        <v>1</v>
      </c>
      <c r="I127" s="35" t="str">
        <f>CLEAN(TRIM('Raw data for Day5'!H127))</f>
        <v>Female</v>
      </c>
      <c r="J127" s="35" t="str">
        <f>CLEAN(TRIM(LOWER('Raw data for Day5'!I127)))</f>
        <v>user75@example.com</v>
      </c>
    </row>
    <row r="128" spans="1:10">
      <c r="A128" s="35" t="str">
        <f>CLEAN(TRIM(LEFT('Raw data for Day5'!A128,3)))</f>
        <v>EMP</v>
      </c>
      <c r="B128" s="38" t="str">
        <f>CLEAN(TRIM(RIGHT('Raw data for Day5'!A128,4)))</f>
        <v>1125</v>
      </c>
      <c r="C128" s="35" t="str">
        <f>CLEAN(TRIM(PROPER('Raw data for Day5'!B128)))</f>
        <v>John Doe</v>
      </c>
      <c r="D128" s="37" t="str">
        <f>CLEAN(TRIM(IF('Raw data for Day5'!C128="finance",PROPER('Raw data for Day5'!C128),IF('Raw data for Day5'!C128="hr", UPPER('Raw data for Day5'!C128),IF('Raw data for Day5'!C128="it",UPPER('Raw data for Day5'!C128),IF('Raw data for Day5'!C128="sales",PROPER('Raw data for Day5'!C128),IF('Raw data for Day5'!C128="marketing",PROPER('Raw data for Day5'!C128),"Un-known")))))))</f>
        <v>Finance</v>
      </c>
      <c r="E128" s="37" t="str">
        <f>CLEAN(TRIM(IF('Raw data for Day5'!D128="germany",PROPER('Raw data for Day5'!D128),IF('Raw data for Day5'!D128="usa",UPPER('Raw data for Day5'!D128),IF('Raw data for Day5'!D128="uk",UPPER('Raw data for Day5'!D128),IF('Raw data for Day5'!D128="india",PROPER('Raw data for Day5'!D128),'Raw data for Day5'!D128))))))</f>
        <v>Un-known</v>
      </c>
      <c r="F128" s="21">
        <f>'Raw data for Day5'!E128</f>
        <v>90019</v>
      </c>
      <c r="G128" s="22">
        <f>'Raw data for Day5'!F128</f>
        <v>42883</v>
      </c>
      <c r="H128" s="36" t="str">
        <f>CLEAN(TRIM('Raw data for Day5'!G128))</f>
        <v>5</v>
      </c>
      <c r="I128" s="35" t="str">
        <f>CLEAN(TRIM('Raw data for Day5'!H128))</f>
        <v>Un-known</v>
      </c>
      <c r="J128" s="35" t="str">
        <f>CLEAN(TRIM(LOWER('Raw data for Day5'!I128)))</f>
        <v>user52@example.com</v>
      </c>
    </row>
    <row r="129" spans="1:10">
      <c r="A129" s="35" t="str">
        <f>CLEAN(TRIM(LEFT('Raw data for Day5'!A129,3)))</f>
        <v>EMP</v>
      </c>
      <c r="B129" s="38" t="str">
        <f>CLEAN(TRIM(RIGHT('Raw data for Day5'!A129,4)))</f>
        <v>1126</v>
      </c>
      <c r="C129" s="35" t="str">
        <f>CLEAN(TRIM(PROPER('Raw data for Day5'!B129)))</f>
        <v>Bob Johnson</v>
      </c>
      <c r="D129" s="37" t="str">
        <f>CLEAN(TRIM(IF('Raw data for Day5'!C129="finance",PROPER('Raw data for Day5'!C129),IF('Raw data for Day5'!C129="hr", UPPER('Raw data for Day5'!C129),IF('Raw data for Day5'!C129="it",UPPER('Raw data for Day5'!C129),IF('Raw data for Day5'!C129="sales",PROPER('Raw data for Day5'!C129),IF('Raw data for Day5'!C129="marketing",PROPER('Raw data for Day5'!C129),"Un-known")))))))</f>
        <v>Un-known</v>
      </c>
      <c r="E129" s="37" t="str">
        <f>CLEAN(TRIM(IF('Raw data for Day5'!D129="germany",PROPER('Raw data for Day5'!D129),IF('Raw data for Day5'!D129="usa",UPPER('Raw data for Day5'!D129),IF('Raw data for Day5'!D129="uk",UPPER('Raw data for Day5'!D129),IF('Raw data for Day5'!D129="india",PROPER('Raw data for Day5'!D129),'Raw data for Day5'!D129))))))</f>
        <v>Germany</v>
      </c>
      <c r="F129" s="21">
        <f>'Raw data for Day5'!E129</f>
        <v>71494</v>
      </c>
      <c r="G129" s="22">
        <f>'Raw data for Day5'!F129</f>
        <v>42890</v>
      </c>
      <c r="H129" s="36" t="str">
        <f>CLEAN(TRIM('Raw data for Day5'!G129))</f>
        <v>3</v>
      </c>
      <c r="I129" s="35" t="str">
        <f>CLEAN(TRIM('Raw data for Day5'!H129))</f>
        <v>Male</v>
      </c>
      <c r="J129" s="35" t="str">
        <f>CLEAN(TRIM(LOWER('Raw data for Day5'!I129)))</f>
        <v>user100@example.com</v>
      </c>
    </row>
    <row r="130" spans="1:10">
      <c r="A130" s="35" t="str">
        <f>CLEAN(TRIM(LEFT('Raw data for Day5'!A130,3)))</f>
        <v>EMP</v>
      </c>
      <c r="B130" s="38" t="str">
        <f>CLEAN(TRIM(RIGHT('Raw data for Day5'!A130,4)))</f>
        <v>1127</v>
      </c>
      <c r="C130" s="35" t="str">
        <f>CLEAN(TRIM(PROPER('Raw data for Day5'!B130)))</f>
        <v>John Doe</v>
      </c>
      <c r="D130" s="37" t="str">
        <f>CLEAN(TRIM(IF('Raw data for Day5'!C130="finance",PROPER('Raw data for Day5'!C130),IF('Raw data for Day5'!C130="hr", UPPER('Raw data for Day5'!C130),IF('Raw data for Day5'!C130="it",UPPER('Raw data for Day5'!C130),IF('Raw data for Day5'!C130="sales",PROPER('Raw data for Day5'!C130),IF('Raw data for Day5'!C130="marketing",PROPER('Raw data for Day5'!C130),"Un-known")))))))</f>
        <v>Finance</v>
      </c>
      <c r="E130" s="37" t="str">
        <f>CLEAN(TRIM(IF('Raw data for Day5'!D130="germany",PROPER('Raw data for Day5'!D130),IF('Raw data for Day5'!D130="usa",UPPER('Raw data for Day5'!D130),IF('Raw data for Day5'!D130="uk",UPPER('Raw data for Day5'!D130),IF('Raw data for Day5'!D130="india",PROPER('Raw data for Day5'!D130),'Raw data for Day5'!D130))))))</f>
        <v>USA</v>
      </c>
      <c r="F130" s="21">
        <f>'Raw data for Day5'!E130</f>
        <v>91953</v>
      </c>
      <c r="G130" s="22">
        <f>'Raw data for Day5'!F130</f>
        <v>42897</v>
      </c>
      <c r="H130" s="36" t="str">
        <f>CLEAN(TRIM('Raw data for Day5'!G130))</f>
        <v>2</v>
      </c>
      <c r="I130" s="35" t="str">
        <f>CLEAN(TRIM('Raw data for Day5'!H130))</f>
        <v>Male</v>
      </c>
      <c r="J130" s="35" t="str">
        <f>CLEAN(TRIM(LOWER('Raw data for Day5'!I130)))</f>
        <v>user83@example.com</v>
      </c>
    </row>
    <row r="131" spans="1:10">
      <c r="A131" s="35" t="str">
        <f>CLEAN(TRIM(LEFT('Raw data for Day5'!A131,3)))</f>
        <v>EMP</v>
      </c>
      <c r="B131" s="38" t="str">
        <f>CLEAN(TRIM(RIGHT('Raw data for Day5'!A131,4)))</f>
        <v>1128</v>
      </c>
      <c r="C131" s="35" t="str">
        <f>CLEAN(TRIM(PROPER('Raw data for Day5'!B131)))</f>
        <v>Chris Lee</v>
      </c>
      <c r="D131" s="37" t="str">
        <f>CLEAN(TRIM(IF('Raw data for Day5'!C131="finance",PROPER('Raw data for Day5'!C131),IF('Raw data for Day5'!C131="hr", UPPER('Raw data for Day5'!C131),IF('Raw data for Day5'!C131="it",UPPER('Raw data for Day5'!C131),IF('Raw data for Day5'!C131="sales",PROPER('Raw data for Day5'!C131),IF('Raw data for Day5'!C131="marketing",PROPER('Raw data for Day5'!C131),"Un-known")))))))</f>
        <v>Sales</v>
      </c>
      <c r="E131" s="37" t="str">
        <f>CLEAN(TRIM(IF('Raw data for Day5'!D131="germany",PROPER('Raw data for Day5'!D131),IF('Raw data for Day5'!D131="usa",UPPER('Raw data for Day5'!D131),IF('Raw data for Day5'!D131="uk",UPPER('Raw data for Day5'!D131),IF('Raw data for Day5'!D131="india",PROPER('Raw data for Day5'!D131),'Raw data for Day5'!D131))))))</f>
        <v>USA</v>
      </c>
      <c r="F131" s="21">
        <f>'Raw data for Day5'!E131</f>
        <v>30402</v>
      </c>
      <c r="G131" s="22">
        <f>'Raw data for Day5'!F131</f>
        <v>42904</v>
      </c>
      <c r="H131" s="36" t="str">
        <f>CLEAN(TRIM('Raw data for Day5'!G131))</f>
        <v>1</v>
      </c>
      <c r="I131" s="35" t="str">
        <f>CLEAN(TRIM('Raw data for Day5'!H131))</f>
        <v>Un-known</v>
      </c>
      <c r="J131" s="35" t="str">
        <f>CLEAN(TRIM(LOWER('Raw data for Day5'!I131)))</f>
        <v>user167@example.com</v>
      </c>
    </row>
    <row r="132" spans="1:10">
      <c r="A132" s="35" t="str">
        <f>CLEAN(TRIM(LEFT('Raw data for Day5'!A132,3)))</f>
        <v>EMP</v>
      </c>
      <c r="B132" s="38" t="str">
        <f>CLEAN(TRIM(RIGHT('Raw data for Day5'!A132,4)))</f>
        <v>1129</v>
      </c>
      <c r="C132" s="35" t="str">
        <f>CLEAN(TRIM(PROPER('Raw data for Day5'!B132)))</f>
        <v>Bob Johnson</v>
      </c>
      <c r="D132" s="37" t="str">
        <f>CLEAN(TRIM(IF('Raw data for Day5'!C132="finance",PROPER('Raw data for Day5'!C132),IF('Raw data for Day5'!C132="hr", UPPER('Raw data for Day5'!C132),IF('Raw data for Day5'!C132="it",UPPER('Raw data for Day5'!C132),IF('Raw data for Day5'!C132="sales",PROPER('Raw data for Day5'!C132),IF('Raw data for Day5'!C132="marketing",PROPER('Raw data for Day5'!C132),"Un-known")))))))</f>
        <v>Un-known</v>
      </c>
      <c r="E132" s="37" t="str">
        <f>CLEAN(TRIM(IF('Raw data for Day5'!D132="germany",PROPER('Raw data for Day5'!D132),IF('Raw data for Day5'!D132="usa",UPPER('Raw data for Day5'!D132),IF('Raw data for Day5'!D132="uk",UPPER('Raw data for Day5'!D132),IF('Raw data for Day5'!D132="india",PROPER('Raw data for Day5'!D132),'Raw data for Day5'!D132))))))</f>
        <v>UK</v>
      </c>
      <c r="F132" s="21">
        <f>'Raw data for Day5'!E132</f>
        <v>62994</v>
      </c>
      <c r="G132" s="22">
        <f>'Raw data for Day5'!F132</f>
        <v>42911</v>
      </c>
      <c r="H132" s="36" t="str">
        <f>CLEAN(TRIM('Raw data for Day5'!G132))</f>
        <v>N/A</v>
      </c>
      <c r="I132" s="35" t="str">
        <f>CLEAN(TRIM('Raw data for Day5'!H132))</f>
        <v>Un-known</v>
      </c>
      <c r="J132" s="35" t="str">
        <f>CLEAN(TRIM(LOWER('Raw data for Day5'!I132)))</f>
        <v>user175@example.com</v>
      </c>
    </row>
    <row r="133" spans="1:10">
      <c r="A133" s="35" t="str">
        <f>CLEAN(TRIM(LEFT('Raw data for Day5'!A133,3)))</f>
        <v>EMP</v>
      </c>
      <c r="B133" s="38" t="str">
        <f>CLEAN(TRIM(RIGHT('Raw data for Day5'!A133,4)))</f>
        <v>1130</v>
      </c>
      <c r="C133" s="35" t="str">
        <f>CLEAN(TRIM(PROPER('Raw data for Day5'!B133)))</f>
        <v>Alice Brown</v>
      </c>
      <c r="D133" s="37" t="str">
        <f>CLEAN(TRIM(IF('Raw data for Day5'!C133="finance",PROPER('Raw data for Day5'!C133),IF('Raw data for Day5'!C133="hr", UPPER('Raw data for Day5'!C133),IF('Raw data for Day5'!C133="it",UPPER('Raw data for Day5'!C133),IF('Raw data for Day5'!C133="sales",PROPER('Raw data for Day5'!C133),IF('Raw data for Day5'!C133="marketing",PROPER('Raw data for Day5'!C133),"Un-known")))))))</f>
        <v>Sales</v>
      </c>
      <c r="E133" s="37" t="str">
        <f>CLEAN(TRIM(IF('Raw data for Day5'!D133="germany",PROPER('Raw data for Day5'!D133),IF('Raw data for Day5'!D133="usa",UPPER('Raw data for Day5'!D133),IF('Raw data for Day5'!D133="uk",UPPER('Raw data for Day5'!D133),IF('Raw data for Day5'!D133="india",PROPER('Raw data for Day5'!D133),'Raw data for Day5'!D133))))))</f>
        <v>India</v>
      </c>
      <c r="F133" s="21">
        <f>'Raw data for Day5'!E133</f>
        <v>48289</v>
      </c>
      <c r="G133" s="22" t="str">
        <f>'Raw data for Day5'!F133</f>
        <v>Un-known</v>
      </c>
      <c r="H133" s="36" t="str">
        <f>CLEAN(TRIM('Raw data for Day5'!G133))</f>
        <v>3</v>
      </c>
      <c r="I133" s="35" t="str">
        <f>CLEAN(TRIM('Raw data for Day5'!H133))</f>
        <v>Male</v>
      </c>
      <c r="J133" s="35" t="str">
        <f>CLEAN(TRIM(LOWER('Raw data for Day5'!I133)))</f>
        <v>user25@example.com</v>
      </c>
    </row>
    <row r="134" spans="1:10">
      <c r="A134" s="35" t="str">
        <f>CLEAN(TRIM(LEFT('Raw data for Day5'!A134,3)))</f>
        <v>EMP</v>
      </c>
      <c r="B134" s="38" t="str">
        <f>CLEAN(TRIM(RIGHT('Raw data for Day5'!A134,4)))</f>
        <v>1131</v>
      </c>
      <c r="C134" s="35" t="str">
        <f>CLEAN(TRIM(PROPER('Raw data for Day5'!B134)))</f>
        <v>Sam Wilson</v>
      </c>
      <c r="D134" s="37" t="str">
        <f>CLEAN(TRIM(IF('Raw data for Day5'!C134="finance",PROPER('Raw data for Day5'!C134),IF('Raw data for Day5'!C134="hr", UPPER('Raw data for Day5'!C134),IF('Raw data for Day5'!C134="it",UPPER('Raw data for Day5'!C134),IF('Raw data for Day5'!C134="sales",PROPER('Raw data for Day5'!C134),IF('Raw data for Day5'!C134="marketing",PROPER('Raw data for Day5'!C134),"Un-known")))))))</f>
        <v>Marketing</v>
      </c>
      <c r="E134" s="37" t="str">
        <f>CLEAN(TRIM(IF('Raw data for Day5'!D134="germany",PROPER('Raw data for Day5'!D134),IF('Raw data for Day5'!D134="usa",UPPER('Raw data for Day5'!D134),IF('Raw data for Day5'!D134="uk",UPPER('Raw data for Day5'!D134),IF('Raw data for Day5'!D134="india",PROPER('Raw data for Day5'!D134),'Raw data for Day5'!D134))))))</f>
        <v>Germany</v>
      </c>
      <c r="F134" s="21">
        <f>'Raw data for Day5'!E134</f>
        <v>34402</v>
      </c>
      <c r="G134" s="22">
        <f>'Raw data for Day5'!F134</f>
        <v>42925</v>
      </c>
      <c r="H134" s="36" t="str">
        <f>CLEAN(TRIM('Raw data for Day5'!G134))</f>
        <v>3</v>
      </c>
      <c r="I134" s="35" t="str">
        <f>CLEAN(TRIM('Raw data for Day5'!H134))</f>
        <v>Other</v>
      </c>
      <c r="J134" s="35" t="str">
        <f>CLEAN(TRIM(LOWER('Raw data for Day5'!I134)))</f>
        <v>user42@example.com</v>
      </c>
    </row>
    <row r="135" spans="1:10">
      <c r="A135" s="35" t="str">
        <f>CLEAN(TRIM(LEFT('Raw data for Day5'!A135,3)))</f>
        <v>EMP</v>
      </c>
      <c r="B135" s="38" t="str">
        <f>CLEAN(TRIM(RIGHT('Raw data for Day5'!A135,4)))</f>
        <v>1132</v>
      </c>
      <c r="C135" s="35" t="str">
        <f>CLEAN(TRIM(PROPER('Raw data for Day5'!B135)))</f>
        <v>Eve Adams</v>
      </c>
      <c r="D135" s="37" t="str">
        <f>CLEAN(TRIM(IF('Raw data for Day5'!C135="finance",PROPER('Raw data for Day5'!C135),IF('Raw data for Day5'!C135="hr", UPPER('Raw data for Day5'!C135),IF('Raw data for Day5'!C135="it",UPPER('Raw data for Day5'!C135),IF('Raw data for Day5'!C135="sales",PROPER('Raw data for Day5'!C135),IF('Raw data for Day5'!C135="marketing",PROPER('Raw data for Day5'!C135),"Un-known")))))))</f>
        <v>HR</v>
      </c>
      <c r="E135" s="37" t="str">
        <f>CLEAN(TRIM(IF('Raw data for Day5'!D135="germany",PROPER('Raw data for Day5'!D135),IF('Raw data for Day5'!D135="usa",UPPER('Raw data for Day5'!D135),IF('Raw data for Day5'!D135="uk",UPPER('Raw data for Day5'!D135),IF('Raw data for Day5'!D135="india",PROPER('Raw data for Day5'!D135),'Raw data for Day5'!D135))))))</f>
        <v>USA</v>
      </c>
      <c r="F135" s="21">
        <f>'Raw data for Day5'!E135</f>
        <v>38678</v>
      </c>
      <c r="G135" s="22">
        <f>'Raw data for Day5'!F135</f>
        <v>42932</v>
      </c>
      <c r="H135" s="36" t="str">
        <f>CLEAN(TRIM('Raw data for Day5'!G135))</f>
        <v>3</v>
      </c>
      <c r="I135" s="35" t="str">
        <f>CLEAN(TRIM('Raw data for Day5'!H135))</f>
        <v>Other</v>
      </c>
      <c r="J135" s="35" t="str">
        <f>CLEAN(TRIM(LOWER('Raw data for Day5'!I135)))</f>
        <v>user188@example.com</v>
      </c>
    </row>
    <row r="136" spans="1:10">
      <c r="A136" s="35" t="str">
        <f>CLEAN(TRIM(LEFT('Raw data for Day5'!A136,3)))</f>
        <v>EMP</v>
      </c>
      <c r="B136" s="38" t="str">
        <f>CLEAN(TRIM(RIGHT('Raw data for Day5'!A136,4)))</f>
        <v>1133</v>
      </c>
      <c r="C136" s="35" t="str">
        <f>CLEAN(TRIM(PROPER('Raw data for Day5'!B136)))</f>
        <v>Chris Lee</v>
      </c>
      <c r="D136" s="37" t="str">
        <f>CLEAN(TRIM(IF('Raw data for Day5'!C136="finance",PROPER('Raw data for Day5'!C136),IF('Raw data for Day5'!C136="hr", UPPER('Raw data for Day5'!C136),IF('Raw data for Day5'!C136="it",UPPER('Raw data for Day5'!C136),IF('Raw data for Day5'!C136="sales",PROPER('Raw data for Day5'!C136),IF('Raw data for Day5'!C136="marketing",PROPER('Raw data for Day5'!C136),"Un-known")))))))</f>
        <v>HR</v>
      </c>
      <c r="E136" s="37" t="str">
        <f>CLEAN(TRIM(IF('Raw data for Day5'!D136="germany",PROPER('Raw data for Day5'!D136),IF('Raw data for Day5'!D136="usa",UPPER('Raw data for Day5'!D136),IF('Raw data for Day5'!D136="uk",UPPER('Raw data for Day5'!D136),IF('Raw data for Day5'!D136="india",PROPER('Raw data for Day5'!D136),'Raw data for Day5'!D136))))))</f>
        <v>Germany</v>
      </c>
      <c r="F136" s="21">
        <f>'Raw data for Day5'!E136</f>
        <v>45758</v>
      </c>
      <c r="G136" s="22">
        <f>'Raw data for Day5'!F136</f>
        <v>42939</v>
      </c>
      <c r="H136" s="36" t="str">
        <f>CLEAN(TRIM('Raw data for Day5'!G136))</f>
        <v>3</v>
      </c>
      <c r="I136" s="35" t="str">
        <f>CLEAN(TRIM('Raw data for Day5'!H136))</f>
        <v>Un-known</v>
      </c>
      <c r="J136" s="35" t="str">
        <f>CLEAN(TRIM(LOWER('Raw data for Day5'!I136)))</f>
        <v>user44@example.com</v>
      </c>
    </row>
    <row r="137" spans="1:10">
      <c r="A137" s="35" t="str">
        <f>CLEAN(TRIM(LEFT('Raw data for Day5'!A137,3)))</f>
        <v>EMP</v>
      </c>
      <c r="B137" s="38" t="str">
        <f>CLEAN(TRIM(RIGHT('Raw data for Day5'!A137,4)))</f>
        <v>1134</v>
      </c>
      <c r="C137" s="35" t="str">
        <f>CLEAN(TRIM(PROPER('Raw data for Day5'!B137)))</f>
        <v>Eve Adams</v>
      </c>
      <c r="D137" s="37" t="str">
        <f>CLEAN(TRIM(IF('Raw data for Day5'!C137="finance",PROPER('Raw data for Day5'!C137),IF('Raw data for Day5'!C137="hr", UPPER('Raw data for Day5'!C137),IF('Raw data for Day5'!C137="it",UPPER('Raw data for Day5'!C137),IF('Raw data for Day5'!C137="sales",PROPER('Raw data for Day5'!C137),IF('Raw data for Day5'!C137="marketing",PROPER('Raw data for Day5'!C137),"Un-known")))))))</f>
        <v>Marketing</v>
      </c>
      <c r="E137" s="37" t="str">
        <f>CLEAN(TRIM(IF('Raw data for Day5'!D137="germany",PROPER('Raw data for Day5'!D137),IF('Raw data for Day5'!D137="usa",UPPER('Raw data for Day5'!D137),IF('Raw data for Day5'!D137="uk",UPPER('Raw data for Day5'!D137),IF('Raw data for Day5'!D137="india",PROPER('Raw data for Day5'!D137),'Raw data for Day5'!D137))))))</f>
        <v>India</v>
      </c>
      <c r="F137" s="21">
        <f>'Raw data for Day5'!E137</f>
        <v>62476</v>
      </c>
      <c r="G137" s="22">
        <f>'Raw data for Day5'!F137</f>
        <v>42946</v>
      </c>
      <c r="H137" s="36" t="str">
        <f>CLEAN(TRIM('Raw data for Day5'!G137))</f>
        <v>1</v>
      </c>
      <c r="I137" s="35" t="str">
        <f>CLEAN(TRIM('Raw data for Day5'!H137))</f>
        <v>Other</v>
      </c>
      <c r="J137" s="35" t="str">
        <f>CLEAN(TRIM(LOWER('Raw data for Day5'!I137)))</f>
        <v>user63@example.com</v>
      </c>
    </row>
    <row r="138" spans="1:10">
      <c r="A138" s="35" t="str">
        <f>CLEAN(TRIM(LEFT('Raw data for Day5'!A138,3)))</f>
        <v>EMP</v>
      </c>
      <c r="B138" s="38" t="str">
        <f>CLEAN(TRIM(RIGHT('Raw data for Day5'!A138,4)))</f>
        <v>1135</v>
      </c>
      <c r="C138" s="35" t="str">
        <f>CLEAN(TRIM(PROPER('Raw data for Day5'!B138)))</f>
        <v>Un-Known</v>
      </c>
      <c r="D138" s="37" t="str">
        <f>CLEAN(TRIM(IF('Raw data for Day5'!C138="finance",PROPER('Raw data for Day5'!C138),IF('Raw data for Day5'!C138="hr", UPPER('Raw data for Day5'!C138),IF('Raw data for Day5'!C138="it",UPPER('Raw data for Day5'!C138),IF('Raw data for Day5'!C138="sales",PROPER('Raw data for Day5'!C138),IF('Raw data for Day5'!C138="marketing",PROPER('Raw data for Day5'!C138),"Un-known")))))))</f>
        <v>IT</v>
      </c>
      <c r="E138" s="37" t="str">
        <f>CLEAN(TRIM(IF('Raw data for Day5'!D138="germany",PROPER('Raw data for Day5'!D138),IF('Raw data for Day5'!D138="usa",UPPER('Raw data for Day5'!D138),IF('Raw data for Day5'!D138="uk",UPPER('Raw data for Day5'!D138),IF('Raw data for Day5'!D138="india",PROPER('Raw data for Day5'!D138),'Raw data for Day5'!D138))))))</f>
        <v>UK</v>
      </c>
      <c r="F138" s="21">
        <f>'Raw data for Day5'!E138</f>
        <v>39280</v>
      </c>
      <c r="G138" s="22">
        <f>'Raw data for Day5'!F138</f>
        <v>42953</v>
      </c>
      <c r="H138" s="36" t="str">
        <f>CLEAN(TRIM('Raw data for Day5'!G138))</f>
        <v>3</v>
      </c>
      <c r="I138" s="35" t="str">
        <f>CLEAN(TRIM('Raw data for Day5'!H138))</f>
        <v>Female</v>
      </c>
      <c r="J138" s="35" t="str">
        <f>CLEAN(TRIM(LOWER('Raw data for Day5'!I138)))</f>
        <v>user198@example.com</v>
      </c>
    </row>
    <row r="139" spans="1:10">
      <c r="A139" s="35" t="str">
        <f>CLEAN(TRIM(LEFT('Raw data for Day5'!A139,3)))</f>
        <v>EMP</v>
      </c>
      <c r="B139" s="38" t="str">
        <f>CLEAN(TRIM(RIGHT('Raw data for Day5'!A139,4)))</f>
        <v>1136</v>
      </c>
      <c r="C139" s="35" t="str">
        <f>CLEAN(TRIM(PROPER('Raw data for Day5'!B139)))</f>
        <v>Jane Smith</v>
      </c>
      <c r="D139" s="37" t="str">
        <f>CLEAN(TRIM(IF('Raw data for Day5'!C139="finance",PROPER('Raw data for Day5'!C139),IF('Raw data for Day5'!C139="hr", UPPER('Raw data for Day5'!C139),IF('Raw data for Day5'!C139="it",UPPER('Raw data for Day5'!C139),IF('Raw data for Day5'!C139="sales",PROPER('Raw data for Day5'!C139),IF('Raw data for Day5'!C139="marketing",PROPER('Raw data for Day5'!C139),"Un-known")))))))</f>
        <v>Finance</v>
      </c>
      <c r="E139" s="37" t="str">
        <f>CLEAN(TRIM(IF('Raw data for Day5'!D139="germany",PROPER('Raw data for Day5'!D139),IF('Raw data for Day5'!D139="usa",UPPER('Raw data for Day5'!D139),IF('Raw data for Day5'!D139="uk",UPPER('Raw data for Day5'!D139),IF('Raw data for Day5'!D139="india",PROPER('Raw data for Day5'!D139),'Raw data for Day5'!D139))))))</f>
        <v>India</v>
      </c>
      <c r="F139" s="21">
        <f>'Raw data for Day5'!E139</f>
        <v>60335</v>
      </c>
      <c r="G139" s="22">
        <f>'Raw data for Day5'!F139</f>
        <v>42960</v>
      </c>
      <c r="H139" s="36" t="str">
        <f>CLEAN(TRIM('Raw data for Day5'!G139))</f>
        <v>4</v>
      </c>
      <c r="I139" s="35" t="str">
        <f>CLEAN(TRIM('Raw data for Day5'!H139))</f>
        <v>Other</v>
      </c>
      <c r="J139" s="35" t="str">
        <f>CLEAN(TRIM(LOWER('Raw data for Day5'!I139)))</f>
        <v>user59@example.com</v>
      </c>
    </row>
    <row r="140" spans="1:10">
      <c r="A140" s="35" t="str">
        <f>CLEAN(TRIM(LEFT('Raw data for Day5'!A140,3)))</f>
        <v>EMP</v>
      </c>
      <c r="B140" s="38" t="str">
        <f>CLEAN(TRIM(RIGHT('Raw data for Day5'!A140,4)))</f>
        <v>1137</v>
      </c>
      <c r="C140" s="35" t="str">
        <f>CLEAN(TRIM(PROPER('Raw data for Day5'!B140)))</f>
        <v>Chris Lee</v>
      </c>
      <c r="D140" s="37" t="str">
        <f>CLEAN(TRIM(IF('Raw data for Day5'!C140="finance",PROPER('Raw data for Day5'!C140),IF('Raw data for Day5'!C140="hr", UPPER('Raw data for Day5'!C140),IF('Raw data for Day5'!C140="it",UPPER('Raw data for Day5'!C140),IF('Raw data for Day5'!C140="sales",PROPER('Raw data for Day5'!C140),IF('Raw data for Day5'!C140="marketing",PROPER('Raw data for Day5'!C140),"Un-known")))))))</f>
        <v>HR</v>
      </c>
      <c r="E140" s="37" t="str">
        <f>CLEAN(TRIM(IF('Raw data for Day5'!D140="germany",PROPER('Raw data for Day5'!D140),IF('Raw data for Day5'!D140="usa",UPPER('Raw data for Day5'!D140),IF('Raw data for Day5'!D140="uk",UPPER('Raw data for Day5'!D140),IF('Raw data for Day5'!D140="india",PROPER('Raw data for Day5'!D140),'Raw data for Day5'!D140))))))</f>
        <v>Germany</v>
      </c>
      <c r="F140" s="21">
        <f>'Raw data for Day5'!E140</f>
        <v>84968</v>
      </c>
      <c r="G140" s="22">
        <f>'Raw data for Day5'!F140</f>
        <v>42967</v>
      </c>
      <c r="H140" s="36" t="str">
        <f>CLEAN(TRIM('Raw data for Day5'!G140))</f>
        <v>N/A</v>
      </c>
      <c r="I140" s="35" t="str">
        <f>CLEAN(TRIM('Raw data for Day5'!H140))</f>
        <v>Un-known</v>
      </c>
      <c r="J140" s="35" t="str">
        <f>CLEAN(TRIM(LOWER('Raw data for Day5'!I140)))</f>
        <v>user165@example.com</v>
      </c>
    </row>
    <row r="141" spans="1:10">
      <c r="A141" s="35" t="str">
        <f>CLEAN(TRIM(LEFT('Raw data for Day5'!A141,3)))</f>
        <v>EMP</v>
      </c>
      <c r="B141" s="38" t="str">
        <f>CLEAN(TRIM(RIGHT('Raw data for Day5'!A141,4)))</f>
        <v>1138</v>
      </c>
      <c r="C141" s="35" t="str">
        <f>CLEAN(TRIM(PROPER('Raw data for Day5'!B141)))</f>
        <v>Chris Lee</v>
      </c>
      <c r="D141" s="37" t="str">
        <f>CLEAN(TRIM(IF('Raw data for Day5'!C141="finance",PROPER('Raw data for Day5'!C141),IF('Raw data for Day5'!C141="hr", UPPER('Raw data for Day5'!C141),IF('Raw data for Day5'!C141="it",UPPER('Raw data for Day5'!C141),IF('Raw data for Day5'!C141="sales",PROPER('Raw data for Day5'!C141),IF('Raw data for Day5'!C141="marketing",PROPER('Raw data for Day5'!C141),"Un-known")))))))</f>
        <v>Marketing</v>
      </c>
      <c r="E141" s="37" t="str">
        <f>CLEAN(TRIM(IF('Raw data for Day5'!D141="germany",PROPER('Raw data for Day5'!D141),IF('Raw data for Day5'!D141="usa",UPPER('Raw data for Day5'!D141),IF('Raw data for Day5'!D141="uk",UPPER('Raw data for Day5'!D141),IF('Raw data for Day5'!D141="india",PROPER('Raw data for Day5'!D141),'Raw data for Day5'!D141))))))</f>
        <v>Australia</v>
      </c>
      <c r="F141" s="21">
        <f>'Raw data for Day5'!E141</f>
        <v>84750</v>
      </c>
      <c r="G141" s="22">
        <f>'Raw data for Day5'!F141</f>
        <v>42974</v>
      </c>
      <c r="H141" s="36" t="str">
        <f>CLEAN(TRIM('Raw data for Day5'!G141))</f>
        <v>4</v>
      </c>
      <c r="I141" s="35" t="str">
        <f>CLEAN(TRIM('Raw data for Day5'!H141))</f>
        <v>Female</v>
      </c>
      <c r="J141" s="35" t="str">
        <f>CLEAN(TRIM(LOWER('Raw data for Day5'!I141)))</f>
        <v>user3@example.com</v>
      </c>
    </row>
    <row r="142" spans="1:10">
      <c r="A142" s="35" t="str">
        <f>CLEAN(TRIM(LEFT('Raw data for Day5'!A142,3)))</f>
        <v>EMP</v>
      </c>
      <c r="B142" s="38" t="str">
        <f>CLEAN(TRIM(RIGHT('Raw data for Day5'!A142,4)))</f>
        <v>1139</v>
      </c>
      <c r="C142" s="35" t="str">
        <f>CLEAN(TRIM(PROPER('Raw data for Day5'!B142)))</f>
        <v>Bob Johnson</v>
      </c>
      <c r="D142" s="37" t="str">
        <f>CLEAN(TRIM(IF('Raw data for Day5'!C142="finance",PROPER('Raw data for Day5'!C142),IF('Raw data for Day5'!C142="hr", UPPER('Raw data for Day5'!C142),IF('Raw data for Day5'!C142="it",UPPER('Raw data for Day5'!C142),IF('Raw data for Day5'!C142="sales",PROPER('Raw data for Day5'!C142),IF('Raw data for Day5'!C142="marketing",PROPER('Raw data for Day5'!C142),"Un-known")))))))</f>
        <v>IT</v>
      </c>
      <c r="E142" s="37" t="str">
        <f>CLEAN(TRIM(IF('Raw data for Day5'!D142="germany",PROPER('Raw data for Day5'!D142),IF('Raw data for Day5'!D142="usa",UPPER('Raw data for Day5'!D142),IF('Raw data for Day5'!D142="uk",UPPER('Raw data for Day5'!D142),IF('Raw data for Day5'!D142="india",PROPER('Raw data for Day5'!D142),'Raw data for Day5'!D142))))))</f>
        <v>Un-known</v>
      </c>
      <c r="F142" s="21">
        <f>'Raw data for Day5'!E142</f>
        <v>73348</v>
      </c>
      <c r="G142" s="22">
        <f>'Raw data for Day5'!F142</f>
        <v>42981</v>
      </c>
      <c r="H142" s="36" t="str">
        <f>CLEAN(TRIM('Raw data for Day5'!G142))</f>
        <v>2</v>
      </c>
      <c r="I142" s="35" t="str">
        <f>CLEAN(TRIM('Raw data for Day5'!H142))</f>
        <v>Un-known</v>
      </c>
      <c r="J142" s="35" t="str">
        <f>CLEAN(TRIM(LOWER('Raw data for Day5'!I142)))</f>
        <v>user22@example.com</v>
      </c>
    </row>
    <row r="143" spans="1:10">
      <c r="A143" s="35" t="str">
        <f>CLEAN(TRIM(LEFT('Raw data for Day5'!A143,3)))</f>
        <v>EMP</v>
      </c>
      <c r="B143" s="38" t="str">
        <f>CLEAN(TRIM(RIGHT('Raw data for Day5'!A143,4)))</f>
        <v>1140</v>
      </c>
      <c r="C143" s="35" t="str">
        <f>CLEAN(TRIM(PROPER('Raw data for Day5'!B143)))</f>
        <v>Chris Lee</v>
      </c>
      <c r="D143" s="37" t="str">
        <f>CLEAN(TRIM(IF('Raw data for Day5'!C143="finance",PROPER('Raw data for Day5'!C143),IF('Raw data for Day5'!C143="hr", UPPER('Raw data for Day5'!C143),IF('Raw data for Day5'!C143="it",UPPER('Raw data for Day5'!C143),IF('Raw data for Day5'!C143="sales",PROPER('Raw data for Day5'!C143),IF('Raw data for Day5'!C143="marketing",PROPER('Raw data for Day5'!C143),"Un-known")))))))</f>
        <v>Sales</v>
      </c>
      <c r="E143" s="37" t="str">
        <f>CLEAN(TRIM(IF('Raw data for Day5'!D143="germany",PROPER('Raw data for Day5'!D143),IF('Raw data for Day5'!D143="usa",UPPER('Raw data for Day5'!D143),IF('Raw data for Day5'!D143="uk",UPPER('Raw data for Day5'!D143),IF('Raw data for Day5'!D143="india",PROPER('Raw data for Day5'!D143),'Raw data for Day5'!D143))))))</f>
        <v>USA</v>
      </c>
      <c r="F143" s="21" t="str">
        <f>'Raw data for Day5'!E143</f>
        <v>0</v>
      </c>
      <c r="G143" s="22">
        <f>'Raw data for Day5'!F143</f>
        <v>42988</v>
      </c>
      <c r="H143" s="36" t="str">
        <f>CLEAN(TRIM('Raw data for Day5'!G143))</f>
        <v>4</v>
      </c>
      <c r="I143" s="35" t="str">
        <f>CLEAN(TRIM('Raw data for Day5'!H143))</f>
        <v>Other</v>
      </c>
      <c r="J143" s="35" t="str">
        <f>CLEAN(TRIM(LOWER('Raw data for Day5'!I143)))</f>
        <v>invalid_email</v>
      </c>
    </row>
    <row r="144" spans="1:10">
      <c r="A144" s="35" t="str">
        <f>CLEAN(TRIM(LEFT('Raw data for Day5'!A144,3)))</f>
        <v>EMP</v>
      </c>
      <c r="B144" s="38" t="str">
        <f>CLEAN(TRIM(RIGHT('Raw data for Day5'!A144,4)))</f>
        <v>1141</v>
      </c>
      <c r="C144" s="35" t="str">
        <f>CLEAN(TRIM(PROPER('Raw data for Day5'!B144)))</f>
        <v>Jane Smith</v>
      </c>
      <c r="D144" s="37" t="str">
        <f>CLEAN(TRIM(IF('Raw data for Day5'!C144="finance",PROPER('Raw data for Day5'!C144),IF('Raw data for Day5'!C144="hr", UPPER('Raw data for Day5'!C144),IF('Raw data for Day5'!C144="it",UPPER('Raw data for Day5'!C144),IF('Raw data for Day5'!C144="sales",PROPER('Raw data for Day5'!C144),IF('Raw data for Day5'!C144="marketing",PROPER('Raw data for Day5'!C144),"Un-known")))))))</f>
        <v>Marketing</v>
      </c>
      <c r="E144" s="37" t="str">
        <f>CLEAN(TRIM(IF('Raw data for Day5'!D144="germany",PROPER('Raw data for Day5'!D144),IF('Raw data for Day5'!D144="usa",UPPER('Raw data for Day5'!D144),IF('Raw data for Day5'!D144="uk",UPPER('Raw data for Day5'!D144),IF('Raw data for Day5'!D144="india",PROPER('Raw data for Day5'!D144),'Raw data for Day5'!D144))))))</f>
        <v>USA</v>
      </c>
      <c r="F144" s="21">
        <f>'Raw data for Day5'!E144</f>
        <v>66882</v>
      </c>
      <c r="G144" s="22">
        <f>'Raw data for Day5'!F144</f>
        <v>42995</v>
      </c>
      <c r="H144" s="36" t="str">
        <f>CLEAN(TRIM('Raw data for Day5'!G144))</f>
        <v>5</v>
      </c>
      <c r="I144" s="35" t="str">
        <f>CLEAN(TRIM('Raw data for Day5'!H144))</f>
        <v>Other</v>
      </c>
      <c r="J144" s="35" t="str">
        <f>CLEAN(TRIM(LOWER('Raw data for Day5'!I144)))</f>
        <v>user103@example.com</v>
      </c>
    </row>
    <row r="145" spans="1:10">
      <c r="A145" s="35" t="str">
        <f>CLEAN(TRIM(LEFT('Raw data for Day5'!A145,3)))</f>
        <v>EMP</v>
      </c>
      <c r="B145" s="38" t="str">
        <f>CLEAN(TRIM(RIGHT('Raw data for Day5'!A145,4)))</f>
        <v>1142</v>
      </c>
      <c r="C145" s="35" t="str">
        <f>CLEAN(TRIM(PROPER('Raw data for Day5'!B145)))</f>
        <v>Alice Brown</v>
      </c>
      <c r="D145" s="37" t="str">
        <f>CLEAN(TRIM(IF('Raw data for Day5'!C145="finance",PROPER('Raw data for Day5'!C145),IF('Raw data for Day5'!C145="hr", UPPER('Raw data for Day5'!C145),IF('Raw data for Day5'!C145="it",UPPER('Raw data for Day5'!C145),IF('Raw data for Day5'!C145="sales",PROPER('Raw data for Day5'!C145),IF('Raw data for Day5'!C145="marketing",PROPER('Raw data for Day5'!C145),"Un-known")))))))</f>
        <v>Marketing</v>
      </c>
      <c r="E145" s="37" t="str">
        <f>CLEAN(TRIM(IF('Raw data for Day5'!D145="germany",PROPER('Raw data for Day5'!D145),IF('Raw data for Day5'!D145="usa",UPPER('Raw data for Day5'!D145),IF('Raw data for Day5'!D145="uk",UPPER('Raw data for Day5'!D145),IF('Raw data for Day5'!D145="india",PROPER('Raw data for Day5'!D145),'Raw data for Day5'!D145))))))</f>
        <v>Un-known</v>
      </c>
      <c r="F145" s="21">
        <f>'Raw data for Day5'!E145</f>
        <v>86775</v>
      </c>
      <c r="G145" s="22">
        <f>'Raw data for Day5'!F145</f>
        <v>43002</v>
      </c>
      <c r="H145" s="36" t="str">
        <f>CLEAN(TRIM('Raw data for Day5'!G145))</f>
        <v>3</v>
      </c>
      <c r="I145" s="35" t="str">
        <f>CLEAN(TRIM('Raw data for Day5'!H145))</f>
        <v>Other</v>
      </c>
      <c r="J145" s="35" t="str">
        <f>CLEAN(TRIM(LOWER('Raw data for Day5'!I145)))</f>
        <v>user190@example.com</v>
      </c>
    </row>
    <row r="146" spans="1:10">
      <c r="A146" s="35" t="str">
        <f>CLEAN(TRIM(LEFT('Raw data for Day5'!A146,3)))</f>
        <v>EMP</v>
      </c>
      <c r="B146" s="38" t="str">
        <f>CLEAN(TRIM(RIGHT('Raw data for Day5'!A146,4)))</f>
        <v>1143</v>
      </c>
      <c r="C146" s="35" t="str">
        <f>CLEAN(TRIM(PROPER('Raw data for Day5'!B146)))</f>
        <v>Chris Lee</v>
      </c>
      <c r="D146" s="37" t="str">
        <f>CLEAN(TRIM(IF('Raw data for Day5'!C146="finance",PROPER('Raw data for Day5'!C146),IF('Raw data for Day5'!C146="hr", UPPER('Raw data for Day5'!C146),IF('Raw data for Day5'!C146="it",UPPER('Raw data for Day5'!C146),IF('Raw data for Day5'!C146="sales",PROPER('Raw data for Day5'!C146),IF('Raw data for Day5'!C146="marketing",PROPER('Raw data for Day5'!C146),"Un-known")))))))</f>
        <v>Sales</v>
      </c>
      <c r="E146" s="37" t="str">
        <f>CLEAN(TRIM(IF('Raw data for Day5'!D146="germany",PROPER('Raw data for Day5'!D146),IF('Raw data for Day5'!D146="usa",UPPER('Raw data for Day5'!D146),IF('Raw data for Day5'!D146="uk",UPPER('Raw data for Day5'!D146),IF('Raw data for Day5'!D146="india",PROPER('Raw data for Day5'!D146),'Raw data for Day5'!D146))))))</f>
        <v>UK</v>
      </c>
      <c r="F146" s="21">
        <f>'Raw data for Day5'!E146</f>
        <v>91620</v>
      </c>
      <c r="G146" s="22">
        <f>'Raw data for Day5'!F146</f>
        <v>43009</v>
      </c>
      <c r="H146" s="36" t="str">
        <f>CLEAN(TRIM('Raw data for Day5'!G146))</f>
        <v>N/A</v>
      </c>
      <c r="I146" s="35" t="str">
        <f>CLEAN(TRIM('Raw data for Day5'!H146))</f>
        <v>Un-known</v>
      </c>
      <c r="J146" s="35" t="str">
        <f>CLEAN(TRIM(LOWER('Raw data for Day5'!I146)))</f>
        <v>user114@example.com</v>
      </c>
    </row>
    <row r="147" spans="1:10">
      <c r="A147" s="35" t="str">
        <f>CLEAN(TRIM(LEFT('Raw data for Day5'!A147,3)))</f>
        <v>EMP</v>
      </c>
      <c r="B147" s="38" t="str">
        <f>CLEAN(TRIM(RIGHT('Raw data for Day5'!A147,4)))</f>
        <v>1144</v>
      </c>
      <c r="C147" s="35" t="str">
        <f>CLEAN(TRIM(PROPER('Raw data for Day5'!B147)))</f>
        <v>Eve Adams</v>
      </c>
      <c r="D147" s="37" t="str">
        <f>CLEAN(TRIM(IF('Raw data for Day5'!C147="finance",PROPER('Raw data for Day5'!C147),IF('Raw data for Day5'!C147="hr", UPPER('Raw data for Day5'!C147),IF('Raw data for Day5'!C147="it",UPPER('Raw data for Day5'!C147),IF('Raw data for Day5'!C147="sales",PROPER('Raw data for Day5'!C147),IF('Raw data for Day5'!C147="marketing",PROPER('Raw data for Day5'!C147),"Un-known")))))))</f>
        <v>Un-known</v>
      </c>
      <c r="E147" s="37" t="str">
        <f>CLEAN(TRIM(IF('Raw data for Day5'!D147="germany",PROPER('Raw data for Day5'!D147),IF('Raw data for Day5'!D147="usa",UPPER('Raw data for Day5'!D147),IF('Raw data for Day5'!D147="uk",UPPER('Raw data for Day5'!D147),IF('Raw data for Day5'!D147="india",PROPER('Raw data for Day5'!D147),'Raw data for Day5'!D147))))))</f>
        <v>Un-known</v>
      </c>
      <c r="F147" s="21">
        <f>'Raw data for Day5'!E147</f>
        <v>94148</v>
      </c>
      <c r="G147" s="22">
        <f>'Raw data for Day5'!F147</f>
        <v>43016</v>
      </c>
      <c r="H147" s="36" t="str">
        <f>CLEAN(TRIM('Raw data for Day5'!G147))</f>
        <v>2</v>
      </c>
      <c r="I147" s="35" t="str">
        <f>CLEAN(TRIM('Raw data for Day5'!H147))</f>
        <v>Un-known</v>
      </c>
      <c r="J147" s="35" t="str">
        <f>CLEAN(TRIM(LOWER('Raw data for Day5'!I147)))</f>
        <v>user53@example.com</v>
      </c>
    </row>
    <row r="148" spans="1:10">
      <c r="A148" s="35" t="str">
        <f>CLEAN(TRIM(LEFT('Raw data for Day5'!A148,3)))</f>
        <v>EMP</v>
      </c>
      <c r="B148" s="38" t="str">
        <f>CLEAN(TRIM(RIGHT('Raw data for Day5'!A148,4)))</f>
        <v>1145</v>
      </c>
      <c r="C148" s="35" t="str">
        <f>CLEAN(TRIM(PROPER('Raw data for Day5'!B148)))</f>
        <v>Sam Wilson</v>
      </c>
      <c r="D148" s="37" t="str">
        <f>CLEAN(TRIM(IF('Raw data for Day5'!C148="finance",PROPER('Raw data for Day5'!C148),IF('Raw data for Day5'!C148="hr", UPPER('Raw data for Day5'!C148),IF('Raw data for Day5'!C148="it",UPPER('Raw data for Day5'!C148),IF('Raw data for Day5'!C148="sales",PROPER('Raw data for Day5'!C148),IF('Raw data for Day5'!C148="marketing",PROPER('Raw data for Day5'!C148),"Un-known")))))))</f>
        <v>Sales</v>
      </c>
      <c r="E148" s="37" t="str">
        <f>CLEAN(TRIM(IF('Raw data for Day5'!D148="germany",PROPER('Raw data for Day5'!D148),IF('Raw data for Day5'!D148="usa",UPPER('Raw data for Day5'!D148),IF('Raw data for Day5'!D148="uk",UPPER('Raw data for Day5'!D148),IF('Raw data for Day5'!D148="india",PROPER('Raw data for Day5'!D148),'Raw data for Day5'!D148))))))</f>
        <v>Australia</v>
      </c>
      <c r="F148" s="21">
        <f>'Raw data for Day5'!E148</f>
        <v>35627</v>
      </c>
      <c r="G148" s="22">
        <f>'Raw data for Day5'!F148</f>
        <v>43023</v>
      </c>
      <c r="H148" s="36" t="str">
        <f>CLEAN(TRIM('Raw data for Day5'!G148))</f>
        <v>5</v>
      </c>
      <c r="I148" s="35" t="str">
        <f>CLEAN(TRIM('Raw data for Day5'!H148))</f>
        <v>Female</v>
      </c>
      <c r="J148" s="35" t="str">
        <f>CLEAN(TRIM(LOWER('Raw data for Day5'!I148)))</f>
        <v>user188@example.com</v>
      </c>
    </row>
    <row r="149" spans="1:10">
      <c r="A149" s="35" t="str">
        <f>CLEAN(TRIM(LEFT('Raw data for Day5'!A149,3)))</f>
        <v>EMP</v>
      </c>
      <c r="B149" s="38" t="str">
        <f>CLEAN(TRIM(RIGHT('Raw data for Day5'!A149,4)))</f>
        <v>1146</v>
      </c>
      <c r="C149" s="35" t="str">
        <f>CLEAN(TRIM(PROPER('Raw data for Day5'!B149)))</f>
        <v>John Doe</v>
      </c>
      <c r="D149" s="37" t="str">
        <f>CLEAN(TRIM(IF('Raw data for Day5'!C149="finance",PROPER('Raw data for Day5'!C149),IF('Raw data for Day5'!C149="hr", UPPER('Raw data for Day5'!C149),IF('Raw data for Day5'!C149="it",UPPER('Raw data for Day5'!C149),IF('Raw data for Day5'!C149="sales",PROPER('Raw data for Day5'!C149),IF('Raw data for Day5'!C149="marketing",PROPER('Raw data for Day5'!C149),"Un-known")))))))</f>
        <v>Marketing</v>
      </c>
      <c r="E149" s="37" t="str">
        <f>CLEAN(TRIM(IF('Raw data for Day5'!D149="germany",PROPER('Raw data for Day5'!D149),IF('Raw data for Day5'!D149="usa",UPPER('Raw data for Day5'!D149),IF('Raw data for Day5'!D149="uk",UPPER('Raw data for Day5'!D149),IF('Raw data for Day5'!D149="india",PROPER('Raw data for Day5'!D149),'Raw data for Day5'!D149))))))</f>
        <v>USA</v>
      </c>
      <c r="F149" s="21">
        <f>'Raw data for Day5'!E149</f>
        <v>57141</v>
      </c>
      <c r="G149" s="22">
        <f>'Raw data for Day5'!F149</f>
        <v>43030</v>
      </c>
      <c r="H149" s="36" t="str">
        <f>CLEAN(TRIM('Raw data for Day5'!G149))</f>
        <v>2</v>
      </c>
      <c r="I149" s="35" t="str">
        <f>CLEAN(TRIM('Raw data for Day5'!H149))</f>
        <v>Un-known</v>
      </c>
      <c r="J149" s="35" t="str">
        <f>CLEAN(TRIM(LOWER('Raw data for Day5'!I149)))</f>
        <v>user165@example.com</v>
      </c>
    </row>
    <row r="150" spans="1:10">
      <c r="A150" s="35" t="str">
        <f>CLEAN(TRIM(LEFT('Raw data for Day5'!A150,3)))</f>
        <v>EMP</v>
      </c>
      <c r="B150" s="38" t="str">
        <f>CLEAN(TRIM(RIGHT('Raw data for Day5'!A150,4)))</f>
        <v>1147</v>
      </c>
      <c r="C150" s="35" t="str">
        <f>CLEAN(TRIM(PROPER('Raw data for Day5'!B150)))</f>
        <v>Bob Johnson</v>
      </c>
      <c r="D150" s="37" t="str">
        <f>CLEAN(TRIM(IF('Raw data for Day5'!C150="finance",PROPER('Raw data for Day5'!C150),IF('Raw data for Day5'!C150="hr", UPPER('Raw data for Day5'!C150),IF('Raw data for Day5'!C150="it",UPPER('Raw data for Day5'!C150),IF('Raw data for Day5'!C150="sales",PROPER('Raw data for Day5'!C150),IF('Raw data for Day5'!C150="marketing",PROPER('Raw data for Day5'!C150),"Un-known")))))))</f>
        <v>Sales</v>
      </c>
      <c r="E150" s="37" t="str">
        <f>CLEAN(TRIM(IF('Raw data for Day5'!D150="germany",PROPER('Raw data for Day5'!D150),IF('Raw data for Day5'!D150="usa",UPPER('Raw data for Day5'!D150),IF('Raw data for Day5'!D150="uk",UPPER('Raw data for Day5'!D150),IF('Raw data for Day5'!D150="india",PROPER('Raw data for Day5'!D150),'Raw data for Day5'!D150))))))</f>
        <v>Australia</v>
      </c>
      <c r="F150" s="21">
        <f>'Raw data for Day5'!E150</f>
        <v>65270</v>
      </c>
      <c r="G150" s="22">
        <f>'Raw data for Day5'!F150</f>
        <v>43037</v>
      </c>
      <c r="H150" s="36" t="str">
        <f>CLEAN(TRIM('Raw data for Day5'!G150))</f>
        <v>1</v>
      </c>
      <c r="I150" s="35" t="str">
        <f>CLEAN(TRIM('Raw data for Day5'!H150))</f>
        <v>Un-known</v>
      </c>
      <c r="J150" s="35" t="str">
        <f>CLEAN(TRIM(LOWER('Raw data for Day5'!I150)))</f>
        <v>user163@example.com</v>
      </c>
    </row>
    <row r="151" spans="1:10">
      <c r="A151" s="35" t="str">
        <f>CLEAN(TRIM(LEFT('Raw data for Day5'!A151,3)))</f>
        <v>EMP</v>
      </c>
      <c r="B151" s="38" t="str">
        <f>CLEAN(TRIM(RIGHT('Raw data for Day5'!A151,4)))</f>
        <v>1148</v>
      </c>
      <c r="C151" s="35" t="str">
        <f>CLEAN(TRIM(PROPER('Raw data for Day5'!B151)))</f>
        <v>Bob Johnson</v>
      </c>
      <c r="D151" s="37" t="str">
        <f>CLEAN(TRIM(IF('Raw data for Day5'!C151="finance",PROPER('Raw data for Day5'!C151),IF('Raw data for Day5'!C151="hr", UPPER('Raw data for Day5'!C151),IF('Raw data for Day5'!C151="it",UPPER('Raw data for Day5'!C151),IF('Raw data for Day5'!C151="sales",PROPER('Raw data for Day5'!C151),IF('Raw data for Day5'!C151="marketing",PROPER('Raw data for Day5'!C151),"Un-known")))))))</f>
        <v>Un-known</v>
      </c>
      <c r="E151" s="37" t="str">
        <f>CLEAN(TRIM(IF('Raw data for Day5'!D151="germany",PROPER('Raw data for Day5'!D151),IF('Raw data for Day5'!D151="usa",UPPER('Raw data for Day5'!D151),IF('Raw data for Day5'!D151="uk",UPPER('Raw data for Day5'!D151),IF('Raw data for Day5'!D151="india",PROPER('Raw data for Day5'!D151),'Raw data for Day5'!D151))))))</f>
        <v>UK</v>
      </c>
      <c r="F151" s="21">
        <f>'Raw data for Day5'!E151</f>
        <v>67335</v>
      </c>
      <c r="G151" s="22">
        <f>'Raw data for Day5'!F151</f>
        <v>43044</v>
      </c>
      <c r="H151" s="36" t="str">
        <f>CLEAN(TRIM('Raw data for Day5'!G151))</f>
        <v>1</v>
      </c>
      <c r="I151" s="35" t="str">
        <f>CLEAN(TRIM('Raw data for Day5'!H151))</f>
        <v>Other</v>
      </c>
      <c r="J151" s="35" t="str">
        <f>CLEAN(TRIM(LOWER('Raw data for Day5'!I151)))</f>
        <v>user112@example.com</v>
      </c>
    </row>
    <row r="152" spans="1:10">
      <c r="A152" s="35" t="str">
        <f>CLEAN(TRIM(LEFT('Raw data for Day5'!A152,3)))</f>
        <v>EMP</v>
      </c>
      <c r="B152" s="38" t="str">
        <f>CLEAN(TRIM(RIGHT('Raw data for Day5'!A152,4)))</f>
        <v>1149</v>
      </c>
      <c r="C152" s="35" t="str">
        <f>CLEAN(TRIM(PROPER('Raw data for Day5'!B152)))</f>
        <v>Sam Wilson</v>
      </c>
      <c r="D152" s="37" t="str">
        <f>CLEAN(TRIM(IF('Raw data for Day5'!C152="finance",PROPER('Raw data for Day5'!C152),IF('Raw data for Day5'!C152="hr", UPPER('Raw data for Day5'!C152),IF('Raw data for Day5'!C152="it",UPPER('Raw data for Day5'!C152),IF('Raw data for Day5'!C152="sales",PROPER('Raw data for Day5'!C152),IF('Raw data for Day5'!C152="marketing",PROPER('Raw data for Day5'!C152),"Un-known")))))))</f>
        <v>Marketing</v>
      </c>
      <c r="E152" s="37" t="str">
        <f>CLEAN(TRIM(IF('Raw data for Day5'!D152="germany",PROPER('Raw data for Day5'!D152),IF('Raw data for Day5'!D152="usa",UPPER('Raw data for Day5'!D152),IF('Raw data for Day5'!D152="uk",UPPER('Raw data for Day5'!D152),IF('Raw data for Day5'!D152="india",PROPER('Raw data for Day5'!D152),'Raw data for Day5'!D152))))))</f>
        <v>India</v>
      </c>
      <c r="F152" s="21">
        <f>'Raw data for Day5'!E152</f>
        <v>98475</v>
      </c>
      <c r="G152" s="22">
        <f>'Raw data for Day5'!F152</f>
        <v>43051</v>
      </c>
      <c r="H152" s="36" t="str">
        <f>CLEAN(TRIM('Raw data for Day5'!G152))</f>
        <v>5</v>
      </c>
      <c r="I152" s="35" t="str">
        <f>CLEAN(TRIM('Raw data for Day5'!H152))</f>
        <v>Other</v>
      </c>
      <c r="J152" s="35" t="str">
        <f>CLEAN(TRIM(LOWER('Raw data for Day5'!I152)))</f>
        <v>user30@example.com</v>
      </c>
    </row>
    <row r="153" spans="1:10">
      <c r="A153" s="35" t="str">
        <f>CLEAN(TRIM(LEFT('Raw data for Day5'!A153,3)))</f>
        <v/>
      </c>
      <c r="B153" s="38" t="str">
        <f>CLEAN(TRIM(RIGHT('Raw data for Day5'!A153,4)))</f>
        <v/>
      </c>
      <c r="C153" s="35" t="str">
        <f>CLEAN(TRIM(PROPER('Raw data for Day5'!B153)))</f>
        <v/>
      </c>
      <c r="E153" s="37" t="str">
        <f>CLEAN(TRIM(IF('Raw data for Day5'!D153="germany",PROPER('Raw data for Day5'!D153),IF('Raw data for Day5'!D153="usa",UPPER('Raw data for Day5'!D153),IF('Raw data for Day5'!D153="uk",UPPER('Raw data for Day5'!D153),IF('Raw data for Day5'!D153="india",PROPER('Raw data for Day5'!D153),'Raw data for Day5'!D153))))))</f>
        <v/>
      </c>
      <c r="F153" s="21">
        <f>'Raw data for Day5'!E153</f>
        <v>0</v>
      </c>
      <c r="G153" s="22">
        <f>'Raw data for Day5'!F153</f>
        <v>0</v>
      </c>
      <c r="H153" s="36" t="str">
        <f>CLEAN(TRIM('Raw data for Day5'!G153))</f>
        <v/>
      </c>
      <c r="I153" s="35" t="str">
        <f>CLEAN(TRIM('Raw data for Day5'!H153))</f>
        <v/>
      </c>
      <c r="J153" s="35" t="str">
        <f>CLEAN(TRIM(LOWER('Raw data for Day5'!I153)))</f>
        <v/>
      </c>
    </row>
    <row r="154" spans="1:10">
      <c r="A154" s="35" t="str">
        <f>CLEAN(TRIM(LEFT('Raw data for Day5'!A154,3)))</f>
        <v/>
      </c>
      <c r="B154" s="38" t="str">
        <f>CLEAN(TRIM(RIGHT('Raw data for Day5'!A154,4)))</f>
        <v/>
      </c>
      <c r="C154" s="35" t="str">
        <f>CLEAN(TRIM(PROPER('Raw data for Day5'!B154)))</f>
        <v/>
      </c>
      <c r="E154" s="37" t="str">
        <f>CLEAN(TRIM(IF('Raw data for Day5'!D154="germany",PROPER('Raw data for Day5'!D154),IF('Raw data for Day5'!D154="usa",UPPER('Raw data for Day5'!D154),IF('Raw data for Day5'!D154="uk",UPPER('Raw data for Day5'!D154),IF('Raw data for Day5'!D154="india",PROPER('Raw data for Day5'!D154),'Raw data for Day5'!D154))))))</f>
        <v/>
      </c>
      <c r="F154" s="21">
        <f>'Raw data for Day5'!E154</f>
        <v>0</v>
      </c>
      <c r="G154" s="22">
        <f>'Raw data for Day5'!F154</f>
        <v>0</v>
      </c>
      <c r="H154" s="36" t="str">
        <f>CLEAN(TRIM('Raw data for Day5'!G154))</f>
        <v/>
      </c>
      <c r="I154" s="35" t="str">
        <f>CLEAN(TRIM('Raw data for Day5'!H154))</f>
        <v/>
      </c>
      <c r="J154" s="35" t="str">
        <f>CLEAN(TRIM(LOWER('Raw data for Day5'!I154)))</f>
        <v/>
      </c>
    </row>
    <row r="155" spans="1:10">
      <c r="A155" s="35" t="str">
        <f>CLEAN(TRIM(LEFT('Raw data for Day5'!A155,3)))</f>
        <v/>
      </c>
      <c r="B155" s="38" t="str">
        <f>CLEAN(TRIM(RIGHT('Raw data for Day5'!A155,4)))</f>
        <v/>
      </c>
      <c r="C155" s="35" t="str">
        <f>CLEAN(TRIM(PROPER('Raw data for Day5'!B155)))</f>
        <v/>
      </c>
      <c r="E155" s="37" t="str">
        <f>CLEAN(TRIM(IF('Raw data for Day5'!D155="germany",PROPER('Raw data for Day5'!D155),IF('Raw data for Day5'!D155="usa",UPPER('Raw data for Day5'!D155),IF('Raw data for Day5'!D155="uk",UPPER('Raw data for Day5'!D155),IF('Raw data for Day5'!D155="india",PROPER('Raw data for Day5'!D155),'Raw data for Day5'!D155))))))</f>
        <v/>
      </c>
      <c r="F155" s="21">
        <f>'Raw data for Day5'!E155</f>
        <v>0</v>
      </c>
      <c r="G155" s="22">
        <f>'Raw data for Day5'!F155</f>
        <v>0</v>
      </c>
      <c r="H155" s="36" t="str">
        <f>CLEAN(TRIM('Raw data for Day5'!G155))</f>
        <v/>
      </c>
      <c r="I155" s="35" t="str">
        <f>CLEAN(TRIM('Raw data for Day5'!H155))</f>
        <v/>
      </c>
      <c r="J155" s="35" t="str">
        <f>CLEAN(TRIM(LOWER('Raw data for Day5'!I155)))</f>
        <v/>
      </c>
    </row>
    <row r="156" spans="1:10">
      <c r="A156" s="35" t="str">
        <f>CLEAN(TRIM(LEFT('Raw data for Day5'!A156,3)))</f>
        <v/>
      </c>
      <c r="B156" s="38" t="str">
        <f>CLEAN(TRIM(RIGHT('Raw data for Day5'!A156,4)))</f>
        <v/>
      </c>
      <c r="C156" s="35" t="str">
        <f>CLEAN(TRIM(PROPER('Raw data for Day5'!B156)))</f>
        <v/>
      </c>
      <c r="E156" s="37" t="str">
        <f>CLEAN(TRIM(IF('Raw data for Day5'!D156="germany",PROPER('Raw data for Day5'!D156),IF('Raw data for Day5'!D156="usa",UPPER('Raw data for Day5'!D156),IF('Raw data for Day5'!D156="uk",UPPER('Raw data for Day5'!D156),IF('Raw data for Day5'!D156="india",PROPER('Raw data for Day5'!D156),'Raw data for Day5'!D156))))))</f>
        <v/>
      </c>
      <c r="F156" s="21">
        <f>'Raw data for Day5'!E156</f>
        <v>0</v>
      </c>
      <c r="G156" s="22">
        <f>'Raw data for Day5'!F156</f>
        <v>0</v>
      </c>
      <c r="H156" s="36" t="str">
        <f>CLEAN(TRIM('Raw data for Day5'!G156))</f>
        <v/>
      </c>
      <c r="I156" s="35" t="str">
        <f>CLEAN(TRIM('Raw data for Day5'!H156))</f>
        <v/>
      </c>
      <c r="J156" s="35" t="str">
        <f>CLEAN(TRIM(LOWER('Raw data for Day5'!I156)))</f>
        <v/>
      </c>
    </row>
  </sheetData>
  <mergeCells count="20">
    <mergeCell ref="L20:R20"/>
    <mergeCell ref="L17:L18"/>
    <mergeCell ref="L15:L16"/>
    <mergeCell ref="L12:L13"/>
    <mergeCell ref="M12:R13"/>
    <mergeCell ref="L2:R2"/>
    <mergeCell ref="M14:R14"/>
    <mergeCell ref="M15:R16"/>
    <mergeCell ref="M17:R18"/>
    <mergeCell ref="A2:B2"/>
    <mergeCell ref="A1:J1"/>
    <mergeCell ref="M3:R4"/>
    <mergeCell ref="L3:L4"/>
    <mergeCell ref="M10:R11"/>
    <mergeCell ref="L10:L11"/>
    <mergeCell ref="L8:L9"/>
    <mergeCell ref="M8:R9"/>
    <mergeCell ref="M5:R5"/>
    <mergeCell ref="L6:L7"/>
    <mergeCell ref="M6:R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2026-01-04T13:30:44Z</dcterms:created>
  <dcterms:modified xsi:type="dcterms:W3CDTF">2026-01-05T15:49:58Z</dcterms:modified>
  <cp:category/>
  <cp:contentStatus/>
</cp:coreProperties>
</file>